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rick\Desktop\ERIKA\QA\work contraloria\erika QA\TERCER PRODUCTO\"/>
    </mc:Choice>
  </mc:AlternateContent>
  <xr:revisionPtr revIDLastSave="0" documentId="13_ncr:1_{267C90F8-FBB1-4E93-8545-07E546934056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PLAN DE EJECUCION" sheetId="1" r:id="rId1"/>
    <sheet name="AVANCE EJECUCIÓN " sheetId="2" r:id="rId2"/>
    <sheet name="CONSOLIDADO DE INCIDENCIAS" sheetId="3" r:id="rId3"/>
  </sheets>
  <definedNames>
    <definedName name="_xlnm._FilterDatabase" localSheetId="2" hidden="1">'CONSOLIDADO DE INCIDENCIAS'!$A$1:$Z$6</definedName>
    <definedName name="_xlnm._FilterDatabase" localSheetId="0" hidden="1">'PLAN DE EJECUCION'!$B$15:$AA$15</definedName>
    <definedName name="_Hlk20317136" localSheetId="2">#REF!</definedName>
    <definedName name="OLE_LINK40" localSheetId="2">#REF!</definedName>
    <definedName name="Z_022B7002_BF2C_467C_94C6_2F4B1957B723_.wvu.FilterData" localSheetId="2" hidden="1">'CONSOLIDADO DE INCIDENCIAS'!$A$1:$AC$205</definedName>
    <definedName name="Z_031DCFBF_D9DE_47C6_9728_A245B3E32D0E_.wvu.FilterData" localSheetId="2" hidden="1">'CONSOLIDADO DE INCIDENCIAS'!$A$34:$AH$205</definedName>
    <definedName name="Z_053C502E_8A07_4287_9848_FA53BEF25CDC_.wvu.FilterData" localSheetId="2" hidden="1">'CONSOLIDADO DE INCIDENCIAS'!$A$34:$V$205</definedName>
    <definedName name="Z_05F2F1B6_41D6_4FE2_8B6F_005B78715AF3_.wvu.FilterData" localSheetId="2" hidden="1">'CONSOLIDADO DE INCIDENCIAS'!$A$1:$M$205</definedName>
    <definedName name="Z_0664A433_8342_47CF_996F_52A146D92FFA_.wvu.FilterData" localSheetId="2" hidden="1">'CONSOLIDADO DE INCIDENCIAS'!$A$1:$V$205</definedName>
    <definedName name="Z_083EE738_64D6_4E61_826A_8DE1537EB8D2_.wvu.FilterData" localSheetId="2" hidden="1">'CONSOLIDADO DE INCIDENCIAS'!$A$1:$AC$205</definedName>
    <definedName name="Z_09C98F4F_9DB4_46CA_B54D_4A2995F0F31F_.wvu.FilterData" localSheetId="2" hidden="1">'CONSOLIDADO DE INCIDENCIAS'!$A$34:$AB$205</definedName>
    <definedName name="Z_09E5EA25_4EA2_495A_8983_EE3B02D31F2C_.wvu.FilterData" localSheetId="2" hidden="1">'CONSOLIDADO DE INCIDENCIAS'!$A$1:$AH$205</definedName>
    <definedName name="Z_0D3440E2_FC27_4522_BB39_DF9F0B4D5D72_.wvu.FilterData" localSheetId="2" hidden="1">'CONSOLIDADO DE INCIDENCIAS'!$A$1:$V$205</definedName>
    <definedName name="Z_0D6C0055_A8FD_46C4_B2B7_CE5CC0B77CA1_.wvu.FilterData" localSheetId="2" hidden="1">'CONSOLIDADO DE INCIDENCIAS'!$A$34:$AC$205</definedName>
    <definedName name="Z_0F4A1A03_8A66_493D_AD63_B9D2D2F331E5_.wvu.FilterData" localSheetId="2" hidden="1">'CONSOLIDADO DE INCIDENCIAS'!$A$34:$M$205</definedName>
    <definedName name="Z_1012F98C_3763_4EDE_B5D5_20FE546E5D46_.wvu.FilterData" localSheetId="2" hidden="1">'CONSOLIDADO DE INCIDENCIAS'!$A$34:$M$205</definedName>
    <definedName name="Z_114F6802_2197_4322_B73A_0FC23C08550B_.wvu.FilterData" localSheetId="2" hidden="1">'CONSOLIDADO DE INCIDENCIAS'!$A$34:$T$205</definedName>
    <definedName name="Z_1187F710_8C93_4B53_A6DF_7457530643E4_.wvu.FilterData" localSheetId="2" hidden="1">'CONSOLIDADO DE INCIDENCIAS'!$A$34:$T$205</definedName>
    <definedName name="Z_128F9D38_1393_4A5A_8793_FA346A5557C6_.wvu.FilterData" localSheetId="2" hidden="1">'CONSOLIDADO DE INCIDENCIAS'!$A$34:$O$48</definedName>
    <definedName name="Z_14B5872E_AC42_46F2_A978_C2125F6F2A00_.wvu.FilterData" localSheetId="2" hidden="1">'CONSOLIDADO DE INCIDENCIAS'!$A$34:$M$205</definedName>
    <definedName name="Z_15081274_07BD_4195_B8A0_FEF6F2D55112_.wvu.FilterData" localSheetId="2" hidden="1">'CONSOLIDADO DE INCIDENCIAS'!$X$34:$AC$35</definedName>
    <definedName name="Z_16E4E86E_1438_468A_A344_51769E38771E_.wvu.FilterData" localSheetId="2" hidden="1">'CONSOLIDADO DE INCIDENCIAS'!$A$34:$AC$205</definedName>
    <definedName name="Z_16F4301D_B836_42F7_8020_2803956B914A_.wvu.FilterData" localSheetId="2" hidden="1">'CONSOLIDADO DE INCIDENCIAS'!$A$34:$M$205</definedName>
    <definedName name="Z_181AD504_66D9_4767_A682_83F62E4814B8_.wvu.FilterData" localSheetId="2" hidden="1">'CONSOLIDADO DE INCIDENCIAS'!$A$34:$AB$205</definedName>
    <definedName name="Z_1A78E216_AD46_44A0_9060_262F73619572_.wvu.FilterData" localSheetId="2" hidden="1">'CONSOLIDADO DE INCIDENCIAS'!$A$34:$M$205</definedName>
    <definedName name="Z_1A99267A_0283_4461_BF75_71DA22AC7D08_.wvu.FilterData" localSheetId="2" hidden="1">'CONSOLIDADO DE INCIDENCIAS'!$A$34:$M$205</definedName>
    <definedName name="Z_1C8DE838_11D6_4F8D_A300_0436111F4A12_.wvu.FilterData" localSheetId="2" hidden="1">'CONSOLIDADO DE INCIDENCIAS'!$A$34:$M$205</definedName>
    <definedName name="Z_1E107AD8_4A76_44CE_A9E1_AC0B663F3D7A_.wvu.FilterData" localSheetId="2" hidden="1">'CONSOLIDADO DE INCIDENCIAS'!$A$34:$T$205</definedName>
    <definedName name="Z_1FD4AC56_906D_4D4D_8534_FFCD905BEAB1_.wvu.FilterData" localSheetId="2" hidden="1">'CONSOLIDADO DE INCIDENCIAS'!$B$42:$B$205</definedName>
    <definedName name="Z_207366EA_06E5_4A7A_A8D5_930D94B44938_.wvu.FilterData" localSheetId="2" hidden="1">'CONSOLIDADO DE INCIDENCIAS'!$A$1:$AC$205</definedName>
    <definedName name="Z_21D3ABEC_E9B8_4B9E_B21F_3A1E35E59296_.wvu.FilterData" localSheetId="2" hidden="1">'CONSOLIDADO DE INCIDENCIAS'!$A$1:$V$205</definedName>
    <definedName name="Z_2616F909_F6A8_4875_92F1_7489011979BE_.wvu.FilterData" localSheetId="2" hidden="1">'CONSOLIDADO DE INCIDENCIAS'!$A$34:$AH$205</definedName>
    <definedName name="Z_26BE083E_F813_43CD_8080_176AC71EC6B1_.wvu.FilterData" localSheetId="2" hidden="1">'CONSOLIDADO DE INCIDENCIAS'!$A$1:$M$155</definedName>
    <definedName name="Z_276671E9_83F3_4274_8123_98123DFEA35E_.wvu.FilterData" localSheetId="2" hidden="1">'CONSOLIDADO DE INCIDENCIAS'!$A$1:$AC$205</definedName>
    <definedName name="Z_2F8F6613_367B_4DCA_AEBA_E7517ACEC861_.wvu.FilterData" localSheetId="2" hidden="1">'CONSOLIDADO DE INCIDENCIAS'!$A$34:$V$205</definedName>
    <definedName name="Z_3118B097_E2D5_4853_9ECC_4F918F82032A_.wvu.FilterData" localSheetId="2" hidden="1">'CONSOLIDADO DE INCIDENCIAS'!$P$1:$S$205</definedName>
    <definedName name="Z_33F92E74_8D12_4DBD_BE96_35943AA5CB92_.wvu.FilterData" localSheetId="2" hidden="1">'CONSOLIDADO DE INCIDENCIAS'!$A$1:$V$205</definedName>
    <definedName name="Z_35895A84_4FC6_4B15_A2A8_F8E79622C3D5_.wvu.FilterData" localSheetId="2" hidden="1">'CONSOLIDADO DE INCIDENCIAS'!$A$1:$AC$205</definedName>
    <definedName name="Z_36F164B3_D871_43E5_A9AC_A6B23943FEEB_.wvu.FilterData" localSheetId="2" hidden="1">'CONSOLIDADO DE INCIDENCIAS'!$A$34:$M$205</definedName>
    <definedName name="Z_3785B557_4AE9_4AF6_A2C2_13FE9E0136EA_.wvu.FilterData" localSheetId="2" hidden="1">'CONSOLIDADO DE INCIDENCIAS'!$A$1:$AH$205</definedName>
    <definedName name="Z_3975D1DF_8296_445E_A42B_725F6FF47E60_.wvu.FilterData" localSheetId="2" hidden="1">'CONSOLIDADO DE INCIDENCIAS'!$A$1:$M$205</definedName>
    <definedName name="Z_399CA99F_CCAB_41B7_A86F_4A8915850AD8_.wvu.FilterData" localSheetId="2" hidden="1">'CONSOLIDADO DE INCIDENCIAS'!$P$1:$S$205</definedName>
    <definedName name="Z_3A6B1647_FE81_4D08_93FF_8878C0A8F211_.wvu.FilterData" localSheetId="2" hidden="1">'CONSOLIDADO DE INCIDENCIAS'!$A$34:$AH$205</definedName>
    <definedName name="Z_3CF00FDE_7551_417F_A3B7_071FB8CAD5A6_.wvu.FilterData" localSheetId="2" hidden="1">'CONSOLIDADO DE INCIDENCIAS'!$A$34:$M$205</definedName>
    <definedName name="Z_415177D4_69C6_49B2_AC44_16824A0261AD_.wvu.FilterData" localSheetId="2" hidden="1">'CONSOLIDADO DE INCIDENCIAS'!$A$1:$M$205</definedName>
    <definedName name="Z_4693FF95_89F1_49D1_A143_D590B5504BB9_.wvu.FilterData" localSheetId="2" hidden="1">'CONSOLIDADO DE INCIDENCIAS'!$A$1:$AC$205</definedName>
    <definedName name="Z_46F690DE_B704_4543_ADDC_843710AE2022_.wvu.FilterData" localSheetId="2" hidden="1">'CONSOLIDADO DE INCIDENCIAS'!$A$1:$V$205</definedName>
    <definedName name="Z_4C23C600_26F2_4062_8D06_D7DF755CD599_.wvu.FilterData" localSheetId="2" hidden="1">'CONSOLIDADO DE INCIDENCIAS'!$A$1:$AC$205</definedName>
    <definedName name="Z_4E5EDA9F_A36F_445A_886D_3EEAB87FECC8_.wvu.FilterData" localSheetId="2" hidden="1">'CONSOLIDADO DE INCIDENCIAS'!$A$34:$T$172</definedName>
    <definedName name="Z_510F36EF_0F2F_4421_8AE2_42331185E17D_.wvu.FilterData" localSheetId="2" hidden="1">'CONSOLIDADO DE INCIDENCIAS'!$A$34:$V$205</definedName>
    <definedName name="Z_52D82730_8101_42C2_8356_45F6C23FB072_.wvu.FilterData" localSheetId="2" hidden="1">'CONSOLIDADO DE INCIDENCIAS'!$A$34:$AB$205</definedName>
    <definedName name="Z_5371A75B_87E1_4B09_A057_556485EA8892_.wvu.FilterData" localSheetId="2" hidden="1">'CONSOLIDADO DE INCIDENCIAS'!$A$34:$M$205</definedName>
    <definedName name="Z_5727B7AE_53CF_47FC_A192_2FFE798B15CD_.wvu.FilterData" localSheetId="2" hidden="1">'CONSOLIDADO DE INCIDENCIAS'!$A$34:$M$205</definedName>
    <definedName name="Z_572EF3AC_D508_4E63_B67A_DDBAEF024046_.wvu.FilterData" localSheetId="2" hidden="1">'CONSOLIDADO DE INCIDENCIAS'!$A$1:$AC$205</definedName>
    <definedName name="Z_5A77D55B_90AE_46C6_8056_00D7E95E5C7B_.wvu.FilterData" localSheetId="2" hidden="1">'CONSOLIDADO DE INCIDENCIAS'!$A$1:$AC$205</definedName>
    <definedName name="Z_61093876_A7FA_4A91_B12D_271A029B9412_.wvu.FilterData" localSheetId="2" hidden="1">'CONSOLIDADO DE INCIDENCIAS'!$A$34:$AB$205</definedName>
    <definedName name="Z_62ECBD26_DE1A_4178_9982_7FCE8B05620C_.wvu.FilterData" localSheetId="2" hidden="1">'CONSOLIDADO DE INCIDENCIAS'!$A$1:$AH$205</definedName>
    <definedName name="Z_636C691A_F644_47E2_8555_F838B7CB08FD_.wvu.FilterData" localSheetId="2" hidden="1">'CONSOLIDADO DE INCIDENCIAS'!$A$34:$AH$205</definedName>
    <definedName name="Z_664F371B_425E_46AA_A6B6_0A01DAFDE9D6_.wvu.FilterData" localSheetId="2" hidden="1">'CONSOLIDADO DE INCIDENCIAS'!$A$1:$AC$205</definedName>
    <definedName name="Z_7072D0E9_A8EB_4832_9DAA_09BCD4B1F142_.wvu.FilterData" localSheetId="2" hidden="1">'CONSOLIDADO DE INCIDENCIAS'!$A$34:$AB$205</definedName>
    <definedName name="Z_7187F25A_3EAF_42F1_AF8C_E58536792040_.wvu.FilterData" localSheetId="2" hidden="1">'CONSOLIDADO DE INCIDENCIAS'!$A$34:$AH$205</definedName>
    <definedName name="Z_71E9F136_BF55_4DE1_A35E_D0AE3E2D9B40_.wvu.FilterData" localSheetId="2" hidden="1">'CONSOLIDADO DE INCIDENCIAS'!$A$34:$AB$205</definedName>
    <definedName name="Z_7268DF11_EDD6_4B5B_BEC2_3DBDCD87AE74_.wvu.FilterData" localSheetId="2" hidden="1">'CONSOLIDADO DE INCIDENCIAS'!$AE$38</definedName>
    <definedName name="Z_7272C260_9D42_4FE7_AF5C_17DA2E6B1E3E_.wvu.FilterData" localSheetId="2" hidden="1">'CONSOLIDADO DE INCIDENCIAS'!$A$34:$M$205</definedName>
    <definedName name="Z_7284F595_B615_41DE_95E5_376C6CD6673F_.wvu.FilterData" localSheetId="2" hidden="1">'CONSOLIDADO DE INCIDENCIAS'!$A$34:$V$205</definedName>
    <definedName name="Z_75DACD84_E730_4FC8_9D84_6613B9F79DE4_.wvu.FilterData" localSheetId="2" hidden="1">'CONSOLIDADO DE INCIDENCIAS'!$A$34:$M$205</definedName>
    <definedName name="Z_78CA7D74_30CA_41F1_880F_D684FB45076B_.wvu.FilterData" localSheetId="2" hidden="1">'CONSOLIDADO DE INCIDENCIAS'!$B$42:$B$205</definedName>
    <definedName name="Z_7999E4B6_7D61_4AE0_ADF5_8A0A393A3158_.wvu.FilterData" localSheetId="2" hidden="1">'CONSOLIDADO DE INCIDENCIAS'!$A$1:$V$205</definedName>
    <definedName name="Z_7AB1E8AC_40AE_4C5C_9BDA_456DF484F5AC_.wvu.FilterData" localSheetId="2" hidden="1">'CONSOLIDADO DE INCIDENCIAS'!$A$34:$V$205</definedName>
    <definedName name="Z_7B5A7FEB_38C1_498D_A92D_CA397ABBAD58_.wvu.FilterData" localSheetId="2" hidden="1">'CONSOLIDADO DE INCIDENCIAS'!$A$34:$V$205</definedName>
    <definedName name="Z_7B675507_1C76_4C97_874C_76A779B09CAB_.wvu.FilterData" localSheetId="2" hidden="1">'CONSOLIDADO DE INCIDENCIAS'!$A$34:$V$205</definedName>
    <definedName name="Z_7D8F2336_9D3F_44C1_A24E_157AED1D31FC_.wvu.FilterData" localSheetId="2" hidden="1">'CONSOLIDADO DE INCIDENCIAS'!$A$34:$AB$205</definedName>
    <definedName name="Z_7F04ED7C_AC49_46EC_B849_703F10341C5D_.wvu.FilterData" localSheetId="2" hidden="1">'CONSOLIDADO DE INCIDENCIAS'!$A$1:$AA$35</definedName>
    <definedName name="Z_82E21F95_1658_417F_B1CA_2512C9DA8B72_.wvu.FilterData" localSheetId="2" hidden="1">'CONSOLIDADO DE INCIDENCIAS'!$A$34:$V$205</definedName>
    <definedName name="Z_8C3FD059_87C2_4AB8_A9B1_8503339D2B25_.wvu.FilterData" localSheetId="2" hidden="1">'CONSOLIDADO DE INCIDENCIAS'!$A$1:$AC$205</definedName>
    <definedName name="Z_8D8AE14E_EC20_440C_9C39_5BEA7CF5A04F_.wvu.FilterData" localSheetId="2" hidden="1">'CONSOLIDADO DE INCIDENCIAS'!$A$34:$O$48</definedName>
    <definedName name="Z_9153D549_821F_4323_ACFA_AD887DB51096_.wvu.FilterData" localSheetId="2" hidden="1">'CONSOLIDADO DE INCIDENCIAS'!$A$34:$M$205</definedName>
    <definedName name="Z_93ECD254_DE4D_4685_A725_C03982E2F41A_.wvu.FilterData" localSheetId="2" hidden="1">'CONSOLIDADO DE INCIDENCIAS'!$A$1:$AC$205</definedName>
    <definedName name="Z_941495F1_D6A5_472F_BEB0_6902BA9F7689_.wvu.FilterData" localSheetId="2" hidden="1">'CONSOLIDADO DE INCIDENCIAS'!$Y$1:$AC$6</definedName>
    <definedName name="Z_9606A4B3_1BC0_452F_883A_4EF796C71F74_.wvu.FilterData" localSheetId="2" hidden="1">'CONSOLIDADO DE INCIDENCIAS'!$A$1:$V$205</definedName>
    <definedName name="Z_971C5F02_9B1E_485C_B1A9_90404A374CF4_.wvu.FilterData" localSheetId="2" hidden="1">'CONSOLIDADO DE INCIDENCIAS'!$A$34:$M$205</definedName>
    <definedName name="Z_995C7FF4_C7C2_4A76_ADCF_BBE4ED920ED4_.wvu.FilterData" localSheetId="2" hidden="1">'CONSOLIDADO DE INCIDENCIAS'!$A$1:$M$205</definedName>
    <definedName name="Z_9AB29BC3_9A36_4807_9E18_226781CBDA38_.wvu.FilterData" localSheetId="2" hidden="1">'CONSOLIDADO DE INCIDENCIAS'!$A$34:$T$205</definedName>
    <definedName name="Z_9B1F8FA7_7628_4886_B11B_BEDED8C7DBA6_.wvu.FilterData" localSheetId="2" hidden="1">'CONSOLIDADO DE INCIDENCIAS'!$A$1:$M$205</definedName>
    <definedName name="Z_9CEF5B33_7819_45EA_942F_F973A16B062D_.wvu.FilterData" localSheetId="2" hidden="1">'CONSOLIDADO DE INCIDENCIAS'!$A$34:$M$205</definedName>
    <definedName name="Z_9F75FFB3_F1FD_4974_A8B3_7EA947D02A33_.wvu.FilterData" localSheetId="2" hidden="1">'CONSOLIDADO DE INCIDENCIAS'!$A$34:$V$205</definedName>
    <definedName name="Z_A50EDA5E_0A24_4646_BCC0_46E1AF7647AA_.wvu.FilterData" localSheetId="2" hidden="1">'CONSOLIDADO DE INCIDENCIAS'!$A$1:$AC$205</definedName>
    <definedName name="Z_A6288929_3BB3_40B5_902C_6E713599D7AE_.wvu.FilterData" localSheetId="2" hidden="1">'CONSOLIDADO DE INCIDENCIAS'!$A$1:$M$205</definedName>
    <definedName name="Z_AC42C643_2221_4965_AFA1_3F2281718069_.wvu.FilterData" localSheetId="2" hidden="1">'CONSOLIDADO DE INCIDENCIAS'!$A$34:$V$205</definedName>
    <definedName name="Z_AE376600_0DC7_44D2_94B2_2029C1D5E558_.wvu.FilterData" localSheetId="2" hidden="1">'CONSOLIDADO DE INCIDENCIAS'!$A$34:$V$205</definedName>
    <definedName name="Z_AE630A8F_EC20_43C5_8552_981385AA5F99_.wvu.FilterData" localSheetId="2" hidden="1">'CONSOLIDADO DE INCIDENCIAS'!$A$34:$T$205</definedName>
    <definedName name="Z_AF9F4FD4_CE6A_484A_BC37_B88B387A0E76_.wvu.FilterData" localSheetId="2" hidden="1">'CONSOLIDADO DE INCIDENCIAS'!$A$34:$M$205</definedName>
    <definedName name="Z_B162741D_8425_4252_BBD0_02C84E11E10D_.wvu.FilterData" localSheetId="2" hidden="1">'CONSOLIDADO DE INCIDENCIAS'!$A$1:$M$205</definedName>
    <definedName name="Z_B29F5A3D_C1CC_4C01_9094_3ED83635FF7A_.wvu.FilterData" localSheetId="2" hidden="1">'CONSOLIDADO DE INCIDENCIAS'!$W$34:$W$205</definedName>
    <definedName name="Z_B3EB6E87_762C_4DA1_9D1A_2D48EB032761_.wvu.FilterData" localSheetId="2" hidden="1">'CONSOLIDADO DE INCIDENCIAS'!$A$1:$AC$205</definedName>
    <definedName name="Z_B4306AB6_087F_4D43_854C_29674B567631_.wvu.FilterData" localSheetId="2" hidden="1">'CONSOLIDADO DE INCIDENCIAS'!$A$34:$AC$205</definedName>
    <definedName name="Z_B5E4F1A3_A1CE_4A78_A686_68FB57442A81_.wvu.FilterData" localSheetId="2" hidden="1">'CONSOLIDADO DE INCIDENCIAS'!$A$1:$AC$205</definedName>
    <definedName name="Z_B7459739_FF7B_43B3_B250_0DCF8416E401_.wvu.FilterData" localSheetId="2" hidden="1">'CONSOLIDADO DE INCIDENCIAS'!$A$34:$O$48</definedName>
    <definedName name="Z_B92DDE69_5E88_447B_AC8C_54227A5354D3_.wvu.FilterData" localSheetId="2" hidden="1">'CONSOLIDADO DE INCIDENCIAS'!$A$1:$AC$205</definedName>
    <definedName name="Z_B98AFEF4_BC2B_43A3_A2BA_F6114E6C2754_.wvu.FilterData" localSheetId="2" hidden="1">'CONSOLIDADO DE INCIDENCIAS'!$A$34:$T$205</definedName>
    <definedName name="Z_BB3A72A8_536B_4CEE_983B_3B1064B08189_.wvu.FilterData" localSheetId="2" hidden="1">'CONSOLIDADO DE INCIDENCIAS'!$T$34:$T$38</definedName>
    <definedName name="Z_BD7589DB_E533_4290_9606_AA69C7E4348C_.wvu.FilterData" localSheetId="2" hidden="1">'CONSOLIDADO DE INCIDENCIAS'!$A$34:$T$205</definedName>
    <definedName name="Z_BE65F6DD_399B_428E_BB3F_BCC96056DA57_.wvu.FilterData" localSheetId="2" hidden="1">'CONSOLIDADO DE INCIDENCIAS'!$A$1:$AH$205</definedName>
    <definedName name="Z_BF854CA7_F810_481B_96CA_127EB201C988_.wvu.FilterData" localSheetId="2" hidden="1">'CONSOLIDADO DE INCIDENCIAS'!$A$1:$V$205</definedName>
    <definedName name="Z_BFAD60BA_8618_4F78_92CE_83AE13F01A3B_.wvu.FilterData" localSheetId="2" hidden="1">'CONSOLIDADO DE INCIDENCIAS'!$A$1:$AC$205</definedName>
    <definedName name="Z_C2A4986B_5443_45E6_8E03_D7BBADA51C58_.wvu.FilterData" localSheetId="2" hidden="1">'CONSOLIDADO DE INCIDENCIAS'!$A$1:$AC$205</definedName>
    <definedName name="Z_C45F2CFE_D13D_411A_9969_62D37A4E659F_.wvu.FilterData" localSheetId="2" hidden="1">'CONSOLIDADO DE INCIDENCIAS'!$A$34:$T$205</definedName>
    <definedName name="Z_C6442E6F_776E_4212_847E_94DFDDF97E9C_.wvu.FilterData" localSheetId="2" hidden="1">'CONSOLIDADO DE INCIDENCIAS'!$A$34:$AH$205</definedName>
    <definedName name="Z_C64B538E_0962_4D5E_86E4_16DF91F67BB6_.wvu.FilterData" localSheetId="2" hidden="1">'CONSOLIDADO DE INCIDENCIAS'!$A$1:$AC$205</definedName>
    <definedName name="Z_C70E7553_7B63_426F_B13E_9BC43B57B462_.wvu.FilterData" localSheetId="2" hidden="1">'CONSOLIDADO DE INCIDENCIAS'!$A$1:$M$205</definedName>
    <definedName name="Z_C798109D_4604_4BCB_A03A_1A0B5730EEEA_.wvu.FilterData" localSheetId="2" hidden="1">'CONSOLIDADO DE INCIDENCIAS'!$A$1:$M$205</definedName>
    <definedName name="Z_CBE06436_1786_4100_8240_33A03D6341BB_.wvu.FilterData" localSheetId="2" hidden="1">'CONSOLIDADO DE INCIDENCIAS'!$A$1:$AC$205</definedName>
    <definedName name="Z_CC605D33_8F51_41B7_B31E_1B663A0C1CB8_.wvu.FilterData" localSheetId="2" hidden="1">'CONSOLIDADO DE INCIDENCIAS'!$A$34:$AB$205</definedName>
    <definedName name="Z_CE3CA79F_69BA_4F2C_8654_49489E9F990B_.wvu.FilterData" localSheetId="2" hidden="1">'CONSOLIDADO DE INCIDENCIAS'!$A$34:$AB$205</definedName>
    <definedName name="Z_D01923C6_A7EE_408C_833F_D29461704E70_.wvu.FilterData" localSheetId="2" hidden="1">'CONSOLIDADO DE INCIDENCIAS'!$W$205</definedName>
    <definedName name="Z_D032A9DB_4E25_40E7_ADF5_F6638E51FAFB_.wvu.FilterData" localSheetId="2" hidden="1">'CONSOLIDADO DE INCIDENCIAS'!$A$34:$T$205</definedName>
    <definedName name="Z_D1C575F5_1C84_4676_BF56_DBF11A7D392C_.wvu.FilterData" localSheetId="2" hidden="1">'CONSOLIDADO DE INCIDENCIAS'!$A$49:$X$205</definedName>
    <definedName name="Z_D244C322_20DC_49ED_91F3_CD1DE6B82879_.wvu.FilterData" localSheetId="2" hidden="1">'CONSOLIDADO DE INCIDENCIAS'!$A$34:$M$205</definedName>
    <definedName name="Z_D64303A7_008D_42DE_93C7_A25CF311B806_.wvu.FilterData" localSheetId="2" hidden="1">'CONSOLIDADO DE INCIDENCIAS'!$A$1:$V$205</definedName>
    <definedName name="Z_D7718746_2F54_4DFE_A769_D6472F3E6C0B_.wvu.FilterData" localSheetId="2" hidden="1">'CONSOLIDADO DE INCIDENCIAS'!$A$34:$AC$205</definedName>
    <definedName name="Z_D84CEC73_EE9D_4C60_BD3C_7ADE6B8942A3_.wvu.FilterData" localSheetId="2" hidden="1">'CONSOLIDADO DE INCIDENCIAS'!$A$1:$V$205</definedName>
    <definedName name="Z_D882DDE6_CE72_4198_BF6E_8949ECE51BD4_.wvu.FilterData" localSheetId="2" hidden="1">'CONSOLIDADO DE INCIDENCIAS'!$A$1:$M$205</definedName>
    <definedName name="Z_D8B6EA5F_A187_41FE_BB79_4E0A24DC82A6_.wvu.FilterData" localSheetId="2" hidden="1">'CONSOLIDADO DE INCIDENCIAS'!$A$1:$AC$205</definedName>
    <definedName name="Z_DB1FD483_6838_44DA_8553_3FBA6168CA60_.wvu.FilterData" localSheetId="2" hidden="1">'CONSOLIDADO DE INCIDENCIAS'!$A$34:$V$205</definedName>
    <definedName name="Z_DD03F7C5_881E_47D5_B147_00CDBDABBB1C_.wvu.FilterData" localSheetId="2" hidden="1">'CONSOLIDADO DE INCIDENCIAS'!$W$34:$W$205</definedName>
    <definedName name="Z_DF0CDE49_DB4F_4350_80A8_21AFE39CC53C_.wvu.FilterData" localSheetId="2" hidden="1">'CONSOLIDADO DE INCIDENCIAS'!$A$1:$AC$205</definedName>
    <definedName name="Z_E04BCF6F_DFDA_4386_A429_D8C54A0A8221_.wvu.FilterData" localSheetId="2" hidden="1">'CONSOLIDADO DE INCIDENCIAS'!$A$34:$M$205</definedName>
    <definedName name="Z_E1BBFA9A_8080_46FE_A961_BB23E161865A_.wvu.FilterData" localSheetId="2" hidden="1">'CONSOLIDADO DE INCIDENCIAS'!$W$34:$W$205</definedName>
    <definedName name="Z_E420F5C5_FA1C_45D4_85B1_40E41CD771D9_.wvu.FilterData" localSheetId="2" hidden="1">'CONSOLIDADO DE INCIDENCIAS'!$A$34:$O$205</definedName>
    <definedName name="Z_E44B98C0_844E_4F9B_B0CA_59B94217FA6D_.wvu.FilterData" localSheetId="2" hidden="1">'CONSOLIDADO DE INCIDENCIAS'!$A$1:$AC$205</definedName>
    <definedName name="Z_EA83768B_FD5D_4C67_B984_7D21B1EE700F_.wvu.FilterData" localSheetId="2" hidden="1">'CONSOLIDADO DE INCIDENCIAS'!$A$34:$AB$205</definedName>
    <definedName name="Z_F104EDCA_16C9_4782_BD8E_4BA1260CBFFE_.wvu.FilterData" localSheetId="2" hidden="1">'CONSOLIDADO DE INCIDENCIAS'!$A$1:$V$205</definedName>
    <definedName name="Z_F26DA7BC_EBF9_48D6_AD40_3714AF19063A_.wvu.FilterData" localSheetId="2" hidden="1">'CONSOLIDADO DE INCIDENCIAS'!$A$34:$V$48</definedName>
    <definedName name="Z_F56FB6B3_F666_4AA5_BA7D_7DC37E308C2C_.wvu.FilterData" localSheetId="2" hidden="1">'CONSOLIDADO DE INCIDENCIAS'!$A$34:$T$205</definedName>
    <definedName name="Z_F5B0A4A1_1151_497C_8044_D5F67182BB6B_.wvu.FilterData" localSheetId="2" hidden="1">'CONSOLIDADO DE INCIDENCIAS'!$B$42:$B$205</definedName>
    <definedName name="Z_F7CC633A_5F52_46D7_BDDD_28A7BEC85582_.wvu.FilterData" localSheetId="2" hidden="1">'CONSOLIDADO DE INCIDENCIAS'!$A$34:$AC$205</definedName>
    <definedName name="Z_F7E8F26E_8764_4FA2_A2A3_DA3698DA687E_.wvu.FilterData" localSheetId="2" hidden="1">'CONSOLIDADO DE INCIDENCIAS'!$Y$34:$AA$35</definedName>
    <definedName name="Z_F9DE771A_18A2_4404_962B_2DD44CB4E30D_.wvu.FilterData" localSheetId="2" hidden="1">'CONSOLIDADO DE INCIDENCIAS'!$A$34:$O$48</definedName>
    <definedName name="Z_FAEF2C7F_3C68_45C7_AFF8_3A03981A467E_.wvu.FilterData" localSheetId="2" hidden="1">'CONSOLIDADO DE INCIDENCIAS'!$A$1:$AH$205</definedName>
  </definedNames>
  <calcPr calcId="181029"/>
  <customWorkbookViews>
    <customWorkbookView name="Filter 26" guid="{7B5A7FEB-38C1-498D-A92D-CA397ABBAD58}" maximized="1" windowWidth="0" windowHeight="0" activeSheetId="0"/>
    <customWorkbookView name="CUS-27" guid="{7187F25A-3EAF-42F1-AF8C-E58536792040}" maximized="1" windowWidth="0" windowHeight="0" activeSheetId="0"/>
    <customWorkbookView name="Filter 95" guid="{F7CC633A-5F52-46D7-BDDD-28A7BEC85582}" maximized="1" windowWidth="0" windowHeight="0" activeSheetId="0"/>
    <customWorkbookView name="Filter 54" guid="{181AD504-66D9-4767-A682-83F62E4814B8}" maximized="1" windowWidth="0" windowHeight="0" activeSheetId="0"/>
    <customWorkbookView name="Filter 49" guid="{971C5F02-9B1E-485C-B1A9-90404A374CF4}" maximized="1" windowWidth="0" windowHeight="0" activeSheetId="0"/>
    <customWorkbookView name="Filter 88" guid="{16E4E86E-1438-468A-A344-51769E38771E}" maximized="1" windowWidth="0" windowHeight="0" activeSheetId="0"/>
    <customWorkbookView name="Filter 81" guid="{0D6C0055-A8FD-46C4-B2B7-CE5CC0B77CA1}" maximized="1" windowWidth="0" windowHeight="0" activeSheetId="0"/>
    <customWorkbookView name="Filter 74" guid="{2616F909-F6A8-4875-92F1-7489011979BE}" maximized="1" windowWidth="0" windowHeight="0" activeSheetId="0"/>
    <customWorkbookView name="Filter 100" guid="{DF0CDE49-DB4F-4350-80A8-21AFE39CC53C}" maximized="1" windowWidth="0" windowHeight="0" activeSheetId="0"/>
    <customWorkbookView name="Filter 66" guid="{D01923C6-A7EE-408C-833F-D29461704E70}" maximized="1" windowWidth="0" windowHeight="0" activeSheetId="0"/>
    <customWorkbookView name="Filter 109" guid="{09E5EA25-4EA2-495A-8983-EE3B02D31F2C}" maximized="1" windowWidth="0" windowHeight="0" activeSheetId="0"/>
    <customWorkbookView name="Filter 77" guid="{14B5872E-AC42-46F2-A978-C2125F6F2A00}" maximized="1" windowWidth="0" windowHeight="0" activeSheetId="0"/>
    <customWorkbookView name="Filter 76" guid="{636C691A-F644-47E2-8555-F838B7CB08FD}" maximized="1" windowWidth="0" windowHeight="0" activeSheetId="0"/>
    <customWorkbookView name="Filter 33" guid="{AC42C643-2221-4965-AFA1-3F2281718069}" maximized="1" windowWidth="0" windowHeight="0" activeSheetId="0"/>
    <customWorkbookView name="Filter 28" guid="{5727B7AE-53CF-47FC-A192-2FFE798B15CD}" maximized="1" windowWidth="0" windowHeight="0" activeSheetId="0"/>
    <customWorkbookView name="Filter 36" guid="{9F75FFB3-F1FD-4974-A8B3-7EA947D02A33}" maximized="1" windowWidth="0" windowHeight="0" activeSheetId="0"/>
    <customWorkbookView name="Filter 51" guid="{7D8F2336-9D3F-44C1-A24E-157AED1D31FC}" maximized="1" windowWidth="0" windowHeight="0" activeSheetId="0"/>
    <customWorkbookView name="Filter 99" guid="{207366EA-06E5-4A7A-A8D5-930D94B44938}" maximized="1" windowWidth="0" windowHeight="0" activeSheetId="0"/>
    <customWorkbookView name="Filter 46" guid="{C6442E6F-776E-4212-847E-94DFDDF97E9C}" maximized="1" windowWidth="0" windowHeight="0" activeSheetId="0"/>
    <customWorkbookView name="Filter 141" guid="{46F690DE-B704-4543-ADDC-843710AE2022}" maximized="1" windowWidth="0" windowHeight="0" activeSheetId="0"/>
    <customWorkbookView name="Filtro 4" guid="{399CA99F-CCAB-41B7-A86F-4A8915850AD8}" maximized="1" windowWidth="0" windowHeight="0" activeSheetId="0"/>
    <customWorkbookView name="Filter 108" guid="{D64303A7-008D-42DE-93C7-A25CF311B806}" maximized="1" windowWidth="0" windowHeight="0" activeSheetId="0"/>
    <customWorkbookView name="Filter 96" guid="{FAEF2C7F-3C68-45C7-AFF8-3A03981A467E}" maximized="1" windowWidth="0" windowHeight="0" activeSheetId="0"/>
    <customWorkbookView name="Filter 117" guid="{C64B538E-0962-4D5E-86E4-16DF91F67BB6}" maximized="1" windowWidth="0" windowHeight="0" activeSheetId="0"/>
    <customWorkbookView name="Filter 41" guid="{0F4A1A03-8A66-493D-AD63-B9D2D2F331E5}" maximized="1" windowWidth="0" windowHeight="0" activeSheetId="0"/>
    <customWorkbookView name="Filter 121" guid="{0664A433-8342-47CF-996F-52A146D92FFA}" maximized="1" windowWidth="0" windowHeight="0" activeSheetId="0"/>
    <customWorkbookView name="Filter 15" guid="{F56FB6B3-F666-4AA5-BA7D-7DC37E308C2C}" maximized="1" windowWidth="0" windowHeight="0" activeSheetId="0"/>
    <customWorkbookView name="Filter 123" guid="{3975D1DF-8296-445E-A42B-725F6FF47E60}" maximized="1" windowWidth="0" windowHeight="0" activeSheetId="0"/>
    <customWorkbookView name="Filtro 3" guid="{A6288929-3BB3-40B5-902C-6E713599D7AE}" maximized="1" windowWidth="0" windowHeight="0" activeSheetId="0"/>
    <customWorkbookView name="Filter 72" guid="{128F9D38-1393-4A5A-8793-FA346A5557C6}" maximized="1" windowWidth="0" windowHeight="0" activeSheetId="0"/>
    <customWorkbookView name="Filter 6" guid="{AE630A8F-EC20-43C5-8552-981385AA5F99}" maximized="1" windowWidth="0" windowHeight="0" activeSheetId="0"/>
    <customWorkbookView name="Filter 64" guid="{EA83768B-FD5D-4C67-B984-7D21B1EE700F}" maximized="1" windowWidth="0" windowHeight="0" activeSheetId="0"/>
    <customWorkbookView name="Filter 87" guid="{E420F5C5-FA1C-45D4-85B1-40E41CD771D9}" maximized="1" windowWidth="0" windowHeight="0" activeSheetId="0"/>
    <customWorkbookView name="Filter 65" guid="{7072D0E9-A8EB-4832-9DAA-09BCD4B1F142}" maximized="1" windowWidth="0" windowHeight="0" activeSheetId="0"/>
    <customWorkbookView name="Filter 140" guid="{D882DDE6-CE72-4198-BF6E-8949ECE51BD4}" maximized="1" windowWidth="0" windowHeight="0" activeSheetId="0"/>
    <customWorkbookView name="Filter 136" guid="{3785B557-4AE9-4AF6-A2C2-13FE9E0136EA}" maximized="1" windowWidth="0" windowHeight="0" activeSheetId="0"/>
    <customWorkbookView name="Filter 56" guid="{CC605D33-8F51-41B7-B31E-1B663A0C1CB8}" maximized="1" windowWidth="0" windowHeight="0" activeSheetId="0"/>
    <customWorkbookView name="Filter 125" guid="{93ECD254-DE4D-4685-A725-C03982E2F41A}" maximized="1" windowWidth="0" windowHeight="0" activeSheetId="0"/>
    <customWorkbookView name="Filter 5" guid="{AF9F4FD4-CE6A-484A-BC37-B88B387A0E76}" maximized="1" windowWidth="0" windowHeight="0" activeSheetId="0"/>
    <customWorkbookView name="Filter 53" guid="{1A99267A-0283-4461-BF75-71DA22AC7D08}" maximized="1" windowWidth="0" windowHeight="0" activeSheetId="0"/>
    <customWorkbookView name="Filter 101" guid="{A50EDA5E-0A24-4646-BCC0-46E1AF7647AA}" maximized="1" windowWidth="0" windowHeight="0" activeSheetId="0"/>
    <customWorkbookView name="Filter 115" guid="{664F371B-425E-46AA-A6B6-0A01DAFDE9D6}" maximized="1" windowWidth="0" windowHeight="0" activeSheetId="0"/>
    <customWorkbookView name="Filter 57" guid="{CE3CA79F-69BA-4F2C-8654-49489E9F990B}" maximized="1" windowWidth="0" windowHeight="0" activeSheetId="0"/>
    <customWorkbookView name="Filter 130" guid="{D8B6EA5F-A187-41FE-BB79-4E0A24DC82A6}" maximized="1" windowWidth="0" windowHeight="0" activeSheetId="0"/>
    <customWorkbookView name="Filter 63" guid="{09C98F4F-9DB4-46CA-B54D-4A2995F0F31F}" maximized="1" windowWidth="0" windowHeight="0" activeSheetId="0"/>
    <customWorkbookView name="Filter 98" guid="{B5E4F1A3-A1CE-4A78-A686-68FB57442A81}" maximized="1" windowWidth="0" windowHeight="0" activeSheetId="0"/>
    <customWorkbookView name="Filter 52" guid="{1C8DE838-11D6-4F8D-A300-0436111F4A12}" maximized="1" windowWidth="0" windowHeight="0" activeSheetId="0"/>
    <customWorkbookView name="Filter 62" guid="{031DCFBF-D9DE-47C6-9728-A245B3E32D0E}" maximized="1" windowWidth="0" windowHeight="0" activeSheetId="0"/>
    <customWorkbookView name="Filter 12" guid="{D032A9DB-4E25-40E7-ADF5-F6638E51FAFB}" maximized="1" windowWidth="0" windowHeight="0" activeSheetId="0"/>
    <customWorkbookView name="Filter 120" guid="{8C3FD059-87C2-4AB8-A9B1-8503339D2B25}" maximized="1" windowWidth="0" windowHeight="0" activeSheetId="0"/>
    <customWorkbookView name="Filter 27" guid="{16F4301D-B836-42F7-8020-2803956B914A}" maximized="1" windowWidth="0" windowHeight="0" activeSheetId="0"/>
    <customWorkbookView name="Filter 111" guid="{D84CEC73-EE9D-4C60-BD3C-7ADE6B8942A3}" maximized="1" windowWidth="0" windowHeight="0" activeSheetId="0"/>
    <customWorkbookView name="Filter 142" guid="{33F92E74-8D12-4DBD-BE96-35943AA5CB92}" maximized="1" windowWidth="0" windowHeight="0" activeSheetId="0"/>
    <customWorkbookView name="Filter 21" guid="{7AB1E8AC-40AE-4C5C-9BDA-456DF484F5AC}" maximized="1" windowWidth="0" windowHeight="0" activeSheetId="0"/>
    <customWorkbookView name="Filter 17" guid="{9AB29BC3-9A36-4807-9E18-226781CBDA38}" maximized="1" windowWidth="0" windowHeight="0" activeSheetId="0"/>
    <customWorkbookView name="Filter 50" guid="{61093876-A7FA-4A91-B12D-271A029B9412}" maximized="1" windowWidth="0" windowHeight="0" activeSheetId="0"/>
    <customWorkbookView name="Filter 139" guid="{E44B98C0-844E-4F9B-B0CA-59B94217FA6D}" maximized="1" windowWidth="0" windowHeight="0" activeSheetId="0"/>
    <customWorkbookView name="Filtro 6" guid="{7F04ED7C-AC49-46EC-B849-703F10341C5D}" maximized="1" windowWidth="0" windowHeight="0" activeSheetId="0"/>
    <customWorkbookView name="Filter 134" guid="{C70E7553-7B63-426F-B13E-9BC43B57B462}" maximized="1" windowWidth="0" windowHeight="0" activeSheetId="0"/>
    <customWorkbookView name="Filter 106" guid="{B92DDE69-5E88-447B-AC8C-54227A5354D3}" maximized="1" windowWidth="0" windowHeight="0" activeSheetId="0"/>
    <customWorkbookView name="Filter 23" guid="{82E21F95-1658-417F-B1CA-2512C9DA8B72}" maximized="1" windowWidth="0" windowHeight="0" activeSheetId="0"/>
    <customWorkbookView name="Filter 29" guid="{5371A75B-87E1-4B09-A057-556485EA8892}" maximized="1" windowWidth="0" windowHeight="0" activeSheetId="0"/>
    <customWorkbookView name="Filter 92" guid="{1012F98C-3763-4EDE-B5D5-20FE546E5D46}" maximized="1" windowWidth="0" windowHeight="0" activeSheetId="0"/>
    <customWorkbookView name="Filter 8" guid="{1A78E216-AD46-44A0-9060-262F73619572}" maximized="1" windowWidth="0" windowHeight="0" activeSheetId="0"/>
    <customWorkbookView name="Filter 127" guid="{B3EB6E87-762C-4DA1-9D1A-2D48EB032761}" maximized="1" windowWidth="0" windowHeight="0" activeSheetId="0"/>
    <customWorkbookView name="Filter 135" guid="{CBE06436-1786-4100-8240-33A03D6341BB}" maximized="1" windowWidth="0" windowHeight="0" activeSheetId="0"/>
    <customWorkbookView name="Filter 114" guid="{276671E9-83F3-4274-8123-98123DFEA35E}" maximized="1" windowWidth="0" windowHeight="0" activeSheetId="0"/>
    <customWorkbookView name="Filter 3" guid="{B98AFEF4-BC2B-43A3-A2BA-F6114E6C2754}" maximized="1" windowWidth="0" windowHeight="0" activeSheetId="0"/>
    <customWorkbookView name="Filter 69" guid="{D1C575F5-1C84-4676-BF56-DBF11A7D392C}" maximized="1" windowWidth="0" windowHeight="0" activeSheetId="0"/>
    <customWorkbookView name="Filter 110" guid="{0D3440E2-FC27-4522-BB39-DF9F0B4D5D72}" maximized="1" windowWidth="0" windowHeight="0" activeSheetId="0"/>
    <customWorkbookView name="Filter JVF" guid="{E04BCF6F-DFDA-4386-A429-D8C54A0A8221}" maximized="1" windowWidth="0" windowHeight="0" activeSheetId="0"/>
    <customWorkbookView name="Filter 13" guid="{1E107AD8-4A76-44CE-A9E1-AC0B663F3D7A}" maximized="1" windowWidth="0" windowHeight="0" activeSheetId="0"/>
    <customWorkbookView name="Filtro 5" guid="{35895A84-4FC6-4B15-A2A8-F8E79622C3D5}" maximized="1" windowWidth="0" windowHeight="0" activeSheetId="0"/>
    <customWorkbookView name="Filter 104" guid="{B162741D-8425-4252-BBD0-02C84E11E10D}" maximized="1" windowWidth="0" windowHeight="0" activeSheetId="0"/>
    <customWorkbookView name="Filtro 1" guid="{4C23C600-26F2-4062-8D06-D7DF755CD599}" maximized="1" windowWidth="0" windowHeight="0" activeSheetId="0"/>
    <customWorkbookView name="Filter 112" guid="{BF854CA7-F810-481B-96CA-127EB201C988}" maximized="1" windowWidth="0" windowHeight="0" activeSheetId="0"/>
    <customWorkbookView name="Filter 25" guid="{7284F595-B615-41DE-95E5-376C6CD6673F}" maximized="1" windowWidth="0" windowHeight="0" activeSheetId="0"/>
    <customWorkbookView name="Filter 119" guid="{941495F1-D6A5-472F-BEB0-6902BA9F7689}" maximized="1" windowWidth="0" windowHeight="0" activeSheetId="0"/>
    <customWorkbookView name="Filter 55" guid="{52D82730-8101-42C2-8356-45F6C23FB072}" maximized="1" windowWidth="0" windowHeight="0" activeSheetId="0"/>
    <customWorkbookView name="Filter 122" guid="{21D3ABEC-E9B8-4B9E-B21F-3A1E35E59296}" maximized="1" windowWidth="0" windowHeight="0" activeSheetId="0"/>
    <customWorkbookView name="Filter 116" guid="{05F2F1B6-41D6-4FE2-8B6F-005B78715AF3}" maximized="1" windowWidth="0" windowHeight="0" activeSheetId="0"/>
    <customWorkbookView name="Filter 97" guid="{26BE083E-F813-43CD-8080-176AC71EC6B1}" maximized="1" windowWidth="0" windowHeight="0" activeSheetId="0"/>
    <customWorkbookView name="Filter 42" guid="{71E9F136-BF55-4DE1-A35E-D0AE3E2D9B40}" maximized="1" windowWidth="0" windowHeight="0" activeSheetId="0"/>
    <customWorkbookView name="Filter 19" guid="{15081274-07BD-4195-B8A0-FEF6F2D55112}" maximized="1" windowWidth="0" windowHeight="0" activeSheetId="0"/>
    <customWorkbookView name="Filter 128" guid="{C2A4986B-5443-45E6-8E03-D7BBADA51C58}" maximized="1" windowWidth="0" windowHeight="0" activeSheetId="0"/>
    <customWorkbookView name="Filter 103" guid="{083EE738-64D6-4E61-826A-8DE1537EB8D2}" maximized="1" windowWidth="0" windowHeight="0" activeSheetId="0"/>
    <customWorkbookView name="Filter 107" guid="{4693FF95-89F1-49D1-A143-D590B5504BB9}" maximized="1" windowWidth="0" windowHeight="0" activeSheetId="0"/>
    <customWorkbookView name="Filter 118" guid="{9606A4B3-1BC0-452F-883A-4EF796C71F74}" maximized="1" windowWidth="0" windowHeight="0" activeSheetId="0"/>
    <customWorkbookView name="Filter 45" guid="{7272C260-9D42-4FE7-AF5C-17DA2E6B1E3E}" maximized="1" windowWidth="0" windowHeight="0" activeSheetId="0"/>
    <customWorkbookView name="Filter 67" guid="{9153D549-821F-4323-ACFA-AD887DB51096}" maximized="1" windowWidth="0" windowHeight="0" activeSheetId="0"/>
    <customWorkbookView name="Filtro 2" guid="{3118B097-E2D5-4853-9ECC-4F918F82032A}" maximized="1" windowWidth="0" windowHeight="0" activeSheetId="0"/>
    <customWorkbookView name="Filter 131" guid="{5A77D55B-90AE-46C6-8056-00D7E95E5C7B}" maximized="1" windowWidth="0" windowHeight="0" activeSheetId="0"/>
    <customWorkbookView name="Filter 138" guid="{7999E4B6-7D61-4AE0-ADF5-8A0A393A3158}" maximized="1" windowWidth="0" windowHeight="0" activeSheetId="0"/>
    <customWorkbookView name="Filter 10" guid="{1FD4AC56-906D-4D4D-8534-FFCD905BEAB1}" maximized="1" windowWidth="0" windowHeight="0" activeSheetId="0"/>
    <customWorkbookView name="Filter 1" guid="{4E5EDA9F-A36F-445A-886D-3EEAB87FECC8}" maximized="1" windowWidth="0" windowHeight="0" activeSheetId="0"/>
    <customWorkbookView name="Filter 4" guid="{114F6802-2197-4322-B73A-0FC23C08550B}" maximized="1" windowWidth="0" windowHeight="0" activeSheetId="0"/>
    <customWorkbookView name="Filter 18" guid="{BD7589DB-E533-4290-9606-AA69C7E4348C}" maximized="1" windowWidth="0" windowHeight="0" activeSheetId="0"/>
    <customWorkbookView name="Filter 129" guid="{F104EDCA-16C9-4782-BD8E-4BA1260CBFFE}" maximized="1" windowWidth="0" windowHeight="0" activeSheetId="0"/>
    <customWorkbookView name="Filter 78" guid="{B4306AB6-087F-4D43-854C-29674B567631}" maximized="1" windowWidth="0" windowHeight="0" activeSheetId="0"/>
    <customWorkbookView name="Filter 35" guid="{7B675507-1C76-4C97-874C-76A779B09CAB}" maximized="1" windowWidth="0" windowHeight="0" activeSheetId="0"/>
    <customWorkbookView name="Filter 58" guid="{D244C322-20DC-49ED-91F3-CD1DE6B82879}" maximized="1" windowWidth="0" windowHeight="0" activeSheetId="0"/>
    <customWorkbookView name="Filter 105" guid="{415177D4-69C6-49B2-AC44-16824A0261AD}" maximized="1" windowWidth="0" windowHeight="0" activeSheetId="0"/>
    <customWorkbookView name="Filter 30" guid="{F7E8F26E-8764-4FA2-A2A3-DA3698DA687E}" maximized="1" windowWidth="0" windowHeight="0" activeSheetId="0"/>
    <customWorkbookView name="Filter 40" guid="{053C502E-8A07-4287-9848-FA53BEF25CDC}" maximized="1" windowWidth="0" windowHeight="0" activeSheetId="0"/>
    <customWorkbookView name="Filter 9" guid="{F5B0A4A1-1151-497C-8044-D5F67182BB6B}" maximized="1" windowWidth="0" windowHeight="0" activeSheetId="0"/>
    <customWorkbookView name="Filter 113" guid="{BFAD60BA-8618-4F78-92CE-83AE13F01A3B}" maximized="1" windowWidth="0" windowHeight="0" activeSheetId="0"/>
    <customWorkbookView name="Filter 71" guid="{F9DE771A-18A2-4404-962B-2DD44CB4E30D}" maximized="1" windowWidth="0" windowHeight="0" activeSheetId="0"/>
    <customWorkbookView name="Filter 11" guid="{78CA7D74-30CA-41F1-880F-D684FB45076B}" maximized="1" windowWidth="0" windowHeight="0" activeSheetId="0"/>
    <customWorkbookView name="Filter 39" guid="{DB1FD483-6838-44DA-8553-3FBA6168CA60}" maximized="1" windowWidth="0" windowHeight="0" activeSheetId="0"/>
    <customWorkbookView name="Filter 37" guid="{36F164B3-D871-43E5-A9AC-A6B23943FEEB}" maximized="1" windowWidth="0" windowHeight="0" activeSheetId="0"/>
    <customWorkbookView name="Filter 34" guid="{9CEF5B33-7819-45EA-942F-F973A16B062D}" maximized="1" windowWidth="0" windowHeight="0" activeSheetId="0"/>
    <customWorkbookView name="Filter 31" guid="{3CF00FDE-7551-417F-A3B7-071FB8CAD5A6}" maximized="1" windowWidth="0" windowHeight="0" activeSheetId="0"/>
    <customWorkbookView name="Filter 47" guid="{75DACD84-E730-4FC8-9D84-6613B9F79DE4}" maximized="1" windowWidth="0" windowHeight="0" activeSheetId="0"/>
    <customWorkbookView name="Filter 20" guid="{BB3A72A8-536B-4CEE-983B-3B1064B08189}" maximized="1" windowWidth="0" windowHeight="0" activeSheetId="0"/>
    <customWorkbookView name="Filter 60" guid="{DD03F7C5-881E-47D5-B147-00CDBDABBB1C}" maximized="1" windowWidth="0" windowHeight="0" activeSheetId="0"/>
    <customWorkbookView name="Filter 94" guid="{7268DF11-EDD6-4B5B-BEC2-3DBDCD87AE74}" maximized="1" windowWidth="0" windowHeight="0" activeSheetId="0"/>
    <customWorkbookView name="Filter 126" guid="{C798109D-4604-4BCB-A03A-1A0B5730EEEA}" maximized="1" windowWidth="0" windowHeight="0" activeSheetId="0"/>
    <customWorkbookView name="Filter 22" guid="{2F8F6613-367B-4DCA-AEBA-E7517ACEC861}" maximized="1" windowWidth="0" windowHeight="0" activeSheetId="0"/>
    <customWorkbookView name="Filter 124" guid="{572EF3AC-D508-4E63-B67A-DDBAEF024046}" maximized="1" windowWidth="0" windowHeight="0" activeSheetId="0"/>
    <customWorkbookView name="Filter 73" guid="{B7459739-FF7B-43B3-B250-0DCF8416E401}" maximized="1" windowWidth="0" windowHeight="0" activeSheetId="0"/>
    <customWorkbookView name="Filter 102" guid="{022B7002-BF2C-467C-94C6-2F4B1957B723}" maximized="1" windowWidth="0" windowHeight="0" activeSheetId="0"/>
    <customWorkbookView name="Filter 70" guid="{3A6B1647-FE81-4D08-93FF-8878C0A8F211}" maximized="1" windowWidth="0" windowHeight="0" activeSheetId="0"/>
    <customWorkbookView name="Katy" guid="{BE65F6DD-399B-428E-BB3F-BCC96056DA57}" maximized="1" windowWidth="0" windowHeight="0" activeSheetId="0"/>
    <customWorkbookView name="Filter 32" guid="{510F36EF-0F2F-4421-8AE2-42331185E17D}" maximized="1" windowWidth="0" windowHeight="0" activeSheetId="0"/>
    <customWorkbookView name="Filter 24" guid="{AE376600-0DC7-44D2-94B2-2029C1D5E558}" maximized="1" windowWidth="0" windowHeight="0" activeSheetId="0"/>
    <customWorkbookView name="Filter 132" guid="{995C7FF4-C7C2-4A76-ADCF-BBE4ED920ED4}" maximized="1" windowWidth="0" windowHeight="0" activeSheetId="0"/>
    <customWorkbookView name="Filter 133" guid="{9B1F8FA7-7628-4886-B11B-BEDED8C7DBA6}" maximized="1" windowWidth="0" windowHeight="0" activeSheetId="0"/>
    <customWorkbookView name="Filter 59" guid="{E1BBFA9A-8080-46FE-A961-BB23E161865A}" maximized="1" windowWidth="0" windowHeight="0" activeSheetId="0"/>
    <customWorkbookView name="Filter 137" guid="{62ECBD26-DE1A-4178-9982-7FCE8B05620C}" maximized="1" windowWidth="0" windowHeight="0" activeSheetId="0"/>
    <customWorkbookView name="Filter 2" guid="{1187F710-8C93-4B53-A6DF-7457530643E4}" maximized="1" windowWidth="0" windowHeight="0" activeSheetId="0"/>
    <customWorkbookView name="Filter 14" guid="{C45F2CFE-D13D-411A-9969-62D37A4E659F}" maximized="1" windowWidth="0" windowHeight="0" activeSheetId="0"/>
    <customWorkbookView name="Filter 61" guid="{B29F5A3D-C1CC-4C01-9094-3ED83635FF7A}" maximized="1" windowWidth="0" windowHeight="0" activeSheetId="0"/>
    <customWorkbookView name="Filter 68" guid="{F26DA7BC-EBF9-48D6-AD40-3714AF19063A}" maximized="1" windowWidth="0" windowHeight="0" activeSheetId="0"/>
    <customWorkbookView name="Filter 90" guid="{D7718746-2F54-4DFE-A769-D6472F3E6C0B}" maximized="1" windowWidth="0" windowHeight="0" activeSheetId="0"/>
    <customWorkbookView name="Filter 75" guid="{8D8AE14E-EC20-440C-9C39-5BEA7CF5A04F}" maximized="1" windowWidth="0" windowHeight="0" activeSheetId="0"/>
  </customWorkbookViews>
  <extLst>
    <ext uri="GoogleSheetsCustomDataVersion2">
      <go:sheetsCustomData xmlns:go="http://customooxmlschemas.google.com/" r:id="rId7" roundtripDataChecksum="L91jUO6aeExBdgg20PdtxTAsQa9evv9/Ce4jeESn5DA="/>
    </ext>
  </extLst>
</workbook>
</file>

<file path=xl/calcChain.xml><?xml version="1.0" encoding="utf-8"?>
<calcChain xmlns="http://schemas.openxmlformats.org/spreadsheetml/2006/main">
  <c r="Q3" i="3" l="1"/>
  <c r="Q4" i="3"/>
  <c r="Q5" i="3"/>
  <c r="Q6" i="3"/>
  <c r="Q2" i="3"/>
  <c r="F8" i="2" l="1"/>
  <c r="C12" i="2"/>
  <c r="D12" i="2"/>
  <c r="L12" i="2" s="1"/>
  <c r="F12" i="2"/>
  <c r="C13" i="2"/>
  <c r="D13" i="2"/>
  <c r="M13" i="2" s="1"/>
  <c r="F13" i="2"/>
  <c r="C14" i="2"/>
  <c r="D14" i="2"/>
  <c r="M14" i="2" s="1"/>
  <c r="F14" i="2"/>
  <c r="C15" i="2"/>
  <c r="D15" i="2"/>
  <c r="M15" i="2" s="1"/>
  <c r="F15" i="2"/>
  <c r="C16" i="2"/>
  <c r="D16" i="2"/>
  <c r="M16" i="2" s="1"/>
  <c r="F16" i="2"/>
  <c r="C7" i="2"/>
  <c r="D7" i="2"/>
  <c r="L7" i="2" s="1"/>
  <c r="F7" i="2"/>
  <c r="C8" i="2"/>
  <c r="D8" i="2"/>
  <c r="M8" i="2" s="1"/>
  <c r="C9" i="2"/>
  <c r="D9" i="2"/>
  <c r="L9" i="2" s="1"/>
  <c r="F9" i="2"/>
  <c r="C10" i="2"/>
  <c r="D10" i="2"/>
  <c r="L10" i="2" s="1"/>
  <c r="F10" i="2"/>
  <c r="C11" i="2"/>
  <c r="D11" i="2"/>
  <c r="M11" i="2" s="1"/>
  <c r="F11" i="2"/>
  <c r="F6" i="2"/>
  <c r="D6" i="2"/>
  <c r="C6" i="2"/>
  <c r="O2" i="3"/>
  <c r="O3" i="3"/>
  <c r="O4" i="3"/>
  <c r="O5" i="3"/>
  <c r="O6" i="3"/>
  <c r="F11" i="1"/>
  <c r="F10" i="1"/>
  <c r="F9" i="1"/>
  <c r="F8" i="1"/>
  <c r="F7" i="1"/>
  <c r="F6" i="1"/>
  <c r="F5" i="1"/>
  <c r="M21" i="2"/>
  <c r="L21" i="2"/>
  <c r="K21" i="2" a="1"/>
  <c r="K21" i="2" s="1"/>
  <c r="J21" i="2" a="1"/>
  <c r="J21" i="2" s="1"/>
  <c r="I21" i="2" a="1"/>
  <c r="I21" i="2" s="1"/>
  <c r="M20" i="2"/>
  <c r="L20" i="2"/>
  <c r="K20" i="2" a="1"/>
  <c r="K20" i="2" s="1"/>
  <c r="J20" i="2" a="1"/>
  <c r="J20" i="2" s="1"/>
  <c r="I20" i="2" a="1"/>
  <c r="I20" i="2" s="1"/>
  <c r="M18" i="2"/>
  <c r="L18" i="2"/>
  <c r="K18" i="2" a="1"/>
  <c r="K18" i="2" s="1"/>
  <c r="J18" i="2" a="1"/>
  <c r="J18" i="2" s="1"/>
  <c r="I18" i="2" a="1"/>
  <c r="I18" i="2" s="1"/>
  <c r="M24" i="2"/>
  <c r="L24" i="2"/>
  <c r="K24" i="2" a="1"/>
  <c r="K24" i="2" s="1"/>
  <c r="J24" i="2" a="1"/>
  <c r="J24" i="2" s="1"/>
  <c r="I24" i="2" a="1"/>
  <c r="I24" i="2" s="1"/>
  <c r="M23" i="2"/>
  <c r="L23" i="2"/>
  <c r="K23" i="2" a="1"/>
  <c r="K23" i="2" s="1"/>
  <c r="J23" i="2" a="1"/>
  <c r="J23" i="2" s="1"/>
  <c r="I23" i="2" a="1"/>
  <c r="I23" i="2" s="1"/>
  <c r="M22" i="2"/>
  <c r="L22" i="2"/>
  <c r="K22" i="2" a="1"/>
  <c r="K22" i="2" s="1"/>
  <c r="J22" i="2" a="1"/>
  <c r="J22" i="2" s="1"/>
  <c r="I22" i="2" a="1"/>
  <c r="I22" i="2" s="1"/>
  <c r="M19" i="2"/>
  <c r="L19" i="2"/>
  <c r="K19" i="2" a="1"/>
  <c r="K19" i="2" s="1"/>
  <c r="J19" i="2" a="1"/>
  <c r="J19" i="2" s="1"/>
  <c r="I19" i="2" a="1"/>
  <c r="I19" i="2" s="1"/>
  <c r="M17" i="2"/>
  <c r="L17" i="2"/>
  <c r="K17" i="2" a="1"/>
  <c r="K17" i="2" s="1"/>
  <c r="J17" i="2" a="1"/>
  <c r="J17" i="2" s="1"/>
  <c r="I17" i="2" a="1"/>
  <c r="I17" i="2" s="1"/>
  <c r="K16" i="2" a="1"/>
  <c r="J16" i="2" a="1"/>
  <c r="I16" i="2" a="1"/>
  <c r="I16" i="2" s="1"/>
  <c r="K15" i="2" a="1"/>
  <c r="J15" i="2" a="1"/>
  <c r="I15" i="2" a="1"/>
  <c r="K14" i="2" a="1"/>
  <c r="J14" i="2" a="1"/>
  <c r="I14" i="2" a="1"/>
  <c r="J13" i="2" a="1"/>
  <c r="J13" i="2" s="1"/>
  <c r="I13" i="2" a="1"/>
  <c r="I13" i="2" s="1"/>
  <c r="M12" i="2"/>
  <c r="K12" i="2" a="1"/>
  <c r="J12" i="2" a="1"/>
  <c r="I12" i="2" a="1"/>
  <c r="K11" i="2" a="1"/>
  <c r="J11" i="2" a="1"/>
  <c r="I11" i="2" a="1"/>
  <c r="X10" i="2"/>
  <c r="W10" i="2"/>
  <c r="V10" i="2"/>
  <c r="U10" i="2"/>
  <c r="T10" i="2"/>
  <c r="S10" i="2"/>
  <c r="M10" i="2"/>
  <c r="K10" i="2" a="1"/>
  <c r="J10" i="2" a="1"/>
  <c r="I10" i="2" a="1"/>
  <c r="I10" i="2" s="1"/>
  <c r="X9" i="2"/>
  <c r="W9" i="2"/>
  <c r="V9" i="2"/>
  <c r="U9" i="2"/>
  <c r="T9" i="2"/>
  <c r="S9" i="2"/>
  <c r="X8" i="2"/>
  <c r="W8" i="2"/>
  <c r="V8" i="2"/>
  <c r="U8" i="2"/>
  <c r="T8" i="2"/>
  <c r="S8" i="2"/>
  <c r="K8" i="2" a="1"/>
  <c r="J8" i="2" a="1"/>
  <c r="I8" i="2" a="1"/>
  <c r="X7" i="2"/>
  <c r="W7" i="2"/>
  <c r="V7" i="2"/>
  <c r="U7" i="2"/>
  <c r="T7" i="2"/>
  <c r="S7" i="2"/>
  <c r="K7" i="2" a="1"/>
  <c r="J7" i="2" a="1"/>
  <c r="I7" i="2" a="1"/>
  <c r="X6" i="2"/>
  <c r="W6" i="2"/>
  <c r="V6" i="2"/>
  <c r="U6" i="2"/>
  <c r="T6" i="2"/>
  <c r="S6" i="2"/>
  <c r="K6" i="2" a="1"/>
  <c r="J6" i="2" a="1"/>
  <c r="I6" i="2" a="1"/>
  <c r="Q4" i="2"/>
  <c r="F4" i="2"/>
  <c r="B2" i="2"/>
  <c r="K13" i="2" l="1" a="1"/>
  <c r="K13" i="2" s="1"/>
  <c r="L13" i="2"/>
  <c r="H13" i="2" s="1"/>
  <c r="M9" i="2"/>
  <c r="K9" i="2" a="1"/>
  <c r="K9" i="2" s="1"/>
  <c r="J9" i="2" a="1"/>
  <c r="J9" i="2" s="1"/>
  <c r="I9" i="2" a="1"/>
  <c r="I9" i="2" s="1"/>
  <c r="I7" i="2"/>
  <c r="L15" i="2"/>
  <c r="J8" i="2"/>
  <c r="J11" i="2"/>
  <c r="K7" i="2"/>
  <c r="M7" i="2"/>
  <c r="L11" i="2"/>
  <c r="K8" i="2"/>
  <c r="J7" i="2"/>
  <c r="L8" i="2"/>
  <c r="J12" i="2"/>
  <c r="I12" i="2"/>
  <c r="K12" i="2"/>
  <c r="I8" i="2"/>
  <c r="K15" i="2"/>
  <c r="J16" i="2"/>
  <c r="I11" i="2"/>
  <c r="K16" i="2"/>
  <c r="K11" i="2"/>
  <c r="L16" i="2"/>
  <c r="I14" i="2"/>
  <c r="K14" i="2"/>
  <c r="J14" i="2"/>
  <c r="L14" i="2"/>
  <c r="I15" i="2"/>
  <c r="J15" i="2"/>
  <c r="D25" i="2"/>
  <c r="J10" i="2"/>
  <c r="H10" i="2" s="1"/>
  <c r="K10" i="2"/>
  <c r="I6" i="2"/>
  <c r="J6" i="2"/>
  <c r="M6" i="2"/>
  <c r="L6" i="2"/>
  <c r="K6" i="2"/>
  <c r="H21" i="2"/>
  <c r="H20" i="2"/>
  <c r="G8" i="1"/>
  <c r="F12" i="1"/>
  <c r="G5" i="1"/>
  <c r="H18" i="2"/>
  <c r="S11" i="2"/>
  <c r="V11" i="2"/>
  <c r="R8" i="2"/>
  <c r="Y8" i="2" s="1"/>
  <c r="R7" i="2"/>
  <c r="Y7" i="2" s="1"/>
  <c r="T11" i="2"/>
  <c r="U11" i="2"/>
  <c r="R6" i="2"/>
  <c r="Y6" i="2" s="1"/>
  <c r="X11" i="2"/>
  <c r="W11" i="2"/>
  <c r="R9" i="2"/>
  <c r="Y9" i="2" s="1"/>
  <c r="R10" i="2"/>
  <c r="Y10" i="2" s="1"/>
  <c r="H17" i="2"/>
  <c r="H23" i="2"/>
  <c r="H19" i="2"/>
  <c r="H22" i="2"/>
  <c r="H24" i="2"/>
  <c r="H12" i="2" l="1"/>
  <c r="H11" i="2"/>
  <c r="H8" i="2"/>
  <c r="H7" i="2"/>
  <c r="H15" i="2"/>
  <c r="H9" i="2"/>
  <c r="H16" i="2"/>
  <c r="H6" i="2"/>
  <c r="M25" i="2"/>
  <c r="H14" i="2"/>
  <c r="L25" i="2"/>
  <c r="K25" i="2"/>
  <c r="J25" i="2"/>
  <c r="I25" i="2"/>
  <c r="G12" i="1"/>
  <c r="R11" i="2"/>
  <c r="Y11" i="2" s="1"/>
  <c r="H25" i="2" l="1"/>
</calcChain>
</file>

<file path=xl/sharedStrings.xml><?xml version="1.0" encoding="utf-8"?>
<sst xmlns="http://schemas.openxmlformats.org/spreadsheetml/2006/main" count="437" uniqueCount="203">
  <si>
    <t xml:space="preserve">PLAN DE ACTIVIDADES PARA LA REVISIÓN TÉCNICA Y FUNCIONAL - SISTEMA </t>
  </si>
  <si>
    <t>Actividades</t>
  </si>
  <si>
    <t>Fecha inicio</t>
  </si>
  <si>
    <t>Fecha Fin</t>
  </si>
  <si>
    <t>Estimación en días</t>
  </si>
  <si>
    <t>HITO 1</t>
  </si>
  <si>
    <t>HITO 2</t>
  </si>
  <si>
    <t>HITO 3</t>
  </si>
  <si>
    <t>HITO 4</t>
  </si>
  <si>
    <t>HITO 5</t>
  </si>
  <si>
    <t>HITO 6</t>
  </si>
  <si>
    <t>HITO 7</t>
  </si>
  <si>
    <t>Nro.</t>
  </si>
  <si>
    <t>NRO. INCIDENCIA</t>
  </si>
  <si>
    <t>TIPOS DE PRUEBA</t>
  </si>
  <si>
    <t>ESTADO</t>
  </si>
  <si>
    <t>PUNTOS CRÍTICOS A REVISAR</t>
  </si>
  <si>
    <t>PROCESOS</t>
  </si>
  <si>
    <t>DETALLE</t>
  </si>
  <si>
    <t>TIPO DE PRUEBA</t>
  </si>
  <si>
    <t>ID-CP</t>
  </si>
  <si>
    <t>CASO DE PRUEBA</t>
  </si>
  <si>
    <t>HITO</t>
  </si>
  <si>
    <t>RESULTADO ESPERADO</t>
  </si>
  <si>
    <t>ANALISTA QA</t>
  </si>
  <si>
    <t>ENCARGADO</t>
  </si>
  <si>
    <t>COMENTARIOS  QA</t>
  </si>
  <si>
    <t>Total Inc.</t>
  </si>
  <si>
    <t>CRITICIDAD</t>
  </si>
  <si>
    <t>PRUEBAS FUNCIONALES</t>
  </si>
  <si>
    <t>COMENTARIOS DESARROLLO</t>
  </si>
  <si>
    <t>Corregidas</t>
  </si>
  <si>
    <t>Pendientes QA</t>
  </si>
  <si>
    <t>ANALISTA DESARROLLO</t>
  </si>
  <si>
    <t>Pendientes DEV</t>
  </si>
  <si>
    <t>ANALISTA DESARROLLO 2</t>
  </si>
  <si>
    <t>FECHA SUBSANACIÓN</t>
  </si>
  <si>
    <t>Desestimado</t>
  </si>
  <si>
    <t>Mejora</t>
  </si>
  <si>
    <t>Alejandra Cárdenas</t>
  </si>
  <si>
    <t>Responsable QA</t>
  </si>
  <si>
    <t>Total de Casos Asignado</t>
  </si>
  <si>
    <t>PENDIENTE</t>
  </si>
  <si>
    <t>EN PROCESO</t>
  </si>
  <si>
    <t>BLOQUEANTE</t>
  </si>
  <si>
    <t>CASO 04</t>
  </si>
  <si>
    <t>CONCLUIDO</t>
  </si>
  <si>
    <t>CASO 05</t>
  </si>
  <si>
    <t>CERRADO</t>
  </si>
  <si>
    <t>POSTERGADO</t>
  </si>
  <si>
    <t>CASO 06</t>
  </si>
  <si>
    <t>% de Avance</t>
  </si>
  <si>
    <t>CASO 07</t>
  </si>
  <si>
    <t>CASO 09</t>
  </si>
  <si>
    <t>CASO 10</t>
  </si>
  <si>
    <t>CP-EACS-001</t>
  </si>
  <si>
    <t>PRUEBAS TECNICAS</t>
  </si>
  <si>
    <t>Documentación</t>
  </si>
  <si>
    <t>PT01</t>
  </si>
  <si>
    <t>PT02</t>
  </si>
  <si>
    <t>Configuración y Entorno</t>
  </si>
  <si>
    <t>PT03</t>
  </si>
  <si>
    <t>Estabilidad de Ambiente</t>
  </si>
  <si>
    <t>PT04</t>
  </si>
  <si>
    <t>Verificar la estabilidad, navegación básica y ejecución de los módulos críticos bajo la versión de .NET framework 4.8.1.</t>
  </si>
  <si>
    <t>PRUEBAS DE REGRESION</t>
  </si>
  <si>
    <t>Revisión y levantamiento de incidencias</t>
  </si>
  <si>
    <t>PR01</t>
  </si>
  <si>
    <t xml:space="preserve">Revisar y cerrar incidencias </t>
  </si>
  <si>
    <t>Flujos Críticos de Regresión</t>
  </si>
  <si>
    <t>PR02</t>
  </si>
  <si>
    <t>Ejecutar flujos críticos del sistema.</t>
  </si>
  <si>
    <t>Leyenda</t>
  </si>
  <si>
    <t>Funcionalidad con errores que no permiten continuar con la revisión</t>
  </si>
  <si>
    <t xml:space="preserve">Funcionalidad pendiente de revisión por el equipo de QA     </t>
  </si>
  <si>
    <t xml:space="preserve">Funcionalidad en proceso de revisión por el equipo de QA     </t>
  </si>
  <si>
    <t>Funcionalidad revisada completamente, pero se tiene incidencias pendientes</t>
  </si>
  <si>
    <t xml:space="preserve">Funcionalidad revisada completamente, no se tiene incidencias pendientes     </t>
  </si>
  <si>
    <t>Funcionalidad postergada para un próximo paquete de mejoras</t>
  </si>
  <si>
    <t>Incidencia no permiten continuar con la revisión</t>
  </si>
  <si>
    <t xml:space="preserve">Incidencia pendiente de revisión </t>
  </si>
  <si>
    <t>Incidencia en proceso de revisión</t>
  </si>
  <si>
    <t xml:space="preserve">Incidencia revisada completamente, pero se tiene otras incidencias relacionadas pendientes </t>
  </si>
  <si>
    <t xml:space="preserve">Incidencia revisada completamente, no se tiene incidencias relacionadas pendientes     </t>
  </si>
  <si>
    <t>DESESTIMADO</t>
  </si>
  <si>
    <t>Incidencia que no requiere corrección o no corresponde al sistema.</t>
  </si>
  <si>
    <t>MEJORA</t>
  </si>
  <si>
    <t>Incidencia postergada para un próximo paquete de mejoras</t>
  </si>
  <si>
    <t>Validan lo que hace el sistema</t>
  </si>
  <si>
    <t>Verifican como lo hace el sistema</t>
  </si>
  <si>
    <t>Verifican que los cambios o actualizaciones no hayan roto lo que ya funcionaba</t>
  </si>
  <si>
    <t>ALTA</t>
  </si>
  <si>
    <t>Detiene por completo la operación del sistema y no existe ninguna alternativa para continuar</t>
  </si>
  <si>
    <t>CP-EACS-002</t>
  </si>
  <si>
    <t>MEDIA</t>
  </si>
  <si>
    <t>Afecta funciones importantes pero no vitales, y/o se tiene una solución alternativa para continuar.</t>
  </si>
  <si>
    <t>BAJA</t>
  </si>
  <si>
    <t>No afectan la operación ni la lógica del sistema</t>
  </si>
  <si>
    <t>CP-EACS-003</t>
  </si>
  <si>
    <t>CP-EACS-004</t>
  </si>
  <si>
    <t>CP-EACS-005</t>
  </si>
  <si>
    <t>CP-EACS-006</t>
  </si>
  <si>
    <t>RESUMEN/TOTAL</t>
  </si>
  <si>
    <t>CP-EACS-007</t>
  </si>
  <si>
    <t>CP-EACS-008</t>
  </si>
  <si>
    <t>CP-EACS-009</t>
  </si>
  <si>
    <t>CP-EACS-010</t>
  </si>
  <si>
    <t>CP-EACS-011</t>
  </si>
  <si>
    <t>CP-EACS-012</t>
  </si>
  <si>
    <t>CP-EACS-013</t>
  </si>
  <si>
    <t>CP-EACS-014</t>
  </si>
  <si>
    <t>CP-EACS-015</t>
  </si>
  <si>
    <t>CP-EACS-016</t>
  </si>
  <si>
    <t>CP-EACS-017</t>
  </si>
  <si>
    <t>CP-EACS-018</t>
  </si>
  <si>
    <t>CP-EACS-019</t>
  </si>
  <si>
    <t>Sistema estable sin caídas repentinas, navegación fluida y sin conflictos de compatibilidad en la infraestructura de .NET 4.8.1.</t>
  </si>
  <si>
    <t>Totalidad de defectos corregidos por desarrollo validados exitosamente, con su estado actualizado a "Cerrado".</t>
  </si>
  <si>
    <t>Procesos de negocio (rutas críticas y Happy Paths) completados y sin encontrar errores de severidad alta o bloqueante</t>
  </si>
  <si>
    <t>TOTAL / RESUMEN</t>
  </si>
  <si>
    <t>Estado</t>
  </si>
  <si>
    <t>ITERACIÓN</t>
  </si>
  <si>
    <t>MÓDULO</t>
  </si>
  <si>
    <t>FECHA DE REPORTE</t>
  </si>
  <si>
    <t>SISTEMA</t>
  </si>
  <si>
    <t>FUNCIONALIDAD</t>
  </si>
  <si>
    <t>ROL</t>
  </si>
  <si>
    <t>NAVEGADOR</t>
  </si>
  <si>
    <t>DESCRIPCIÓN DE INCIDENCIA</t>
  </si>
  <si>
    <t>IMAGEN2</t>
  </si>
  <si>
    <t>IMAGEN1</t>
  </si>
  <si>
    <t>Crear documentos para las pruebas (Plan y Diseño de Casos de Prueba; Plan de revisión de sistema).</t>
  </si>
  <si>
    <t>PT05</t>
  </si>
  <si>
    <t>Verificar entorno y configuración base</t>
  </si>
  <si>
    <t>Crear documentos de las pruebas realizadas  (Informe de atención de solicitudes, Informe de incidencias).</t>
  </si>
  <si>
    <t>Crear o actualizar documentos de las pruebas realizadas  (Plan y Diseño de Casos de Prueba; Plan de revisión de sistema, Informe de atención de solicitudes, Informe de incidencias, Informe de resultados de pruebas de calidad, Informe de pruebas).</t>
  </si>
  <si>
    <t>PT06</t>
  </si>
  <si>
    <t>Documentos redactados y aprobados</t>
  </si>
  <si>
    <t>Ambiente operativo, actualizados y sin bloqueos.</t>
  </si>
  <si>
    <t xml:space="preserve">Documentos del sistema analizados y considerados una línea base estable para las siguientes actividades. </t>
  </si>
  <si>
    <t xml:space="preserve">  </t>
  </si>
  <si>
    <t>Análisis de documentación del Sistema.</t>
  </si>
  <si>
    <t>CHROME</t>
  </si>
  <si>
    <t>Se encuentra en el documento ANEXO 3.1 Informe de incidencias.pdf</t>
  </si>
  <si>
    <t>DESCRIPCIÓN</t>
  </si>
  <si>
    <t>-</t>
  </si>
  <si>
    <t>Planificación, analisis y Diseño de casos de prueba</t>
  </si>
  <si>
    <t>Instalación y despliegue del sistema</t>
  </si>
  <si>
    <t>Validación de la operatividad</t>
  </si>
  <si>
    <t>Ejecución de pruebas funcionales y técnicas</t>
  </si>
  <si>
    <t>Pruebas de regresión</t>
  </si>
  <si>
    <t>Cierre de pruebas</t>
  </si>
  <si>
    <t>PRUEBAS TÉCNICAS</t>
  </si>
  <si>
    <t>PRUEBAS DE REGRESIÓN</t>
  </si>
  <si>
    <t>FECHA DE ATENCIÓN</t>
  </si>
  <si>
    <t>INC-001-EACS</t>
  </si>
  <si>
    <t>INC-002-EACS</t>
  </si>
  <si>
    <t>INC-003-EACS</t>
  </si>
  <si>
    <t>INC-004-EACS</t>
  </si>
  <si>
    <t>INC-005-EACS</t>
  </si>
  <si>
    <t>Búsqueda y Filtros</t>
  </si>
  <si>
    <t>CASO 01</t>
  </si>
  <si>
    <t>CASO 02</t>
  </si>
  <si>
    <t>CASO 03</t>
  </si>
  <si>
    <t>Visualización de Resultados y Documentos</t>
  </si>
  <si>
    <t>Panel e Información General</t>
  </si>
  <si>
    <t>CASO 08</t>
  </si>
  <si>
    <t>Sistema busca resoluciones por texto libre correctamente.</t>
  </si>
  <si>
    <t>Sistema filtra resouciones correctamente.</t>
  </si>
  <si>
    <t>Sistema realiza busqueda avanzada  correctamente.</t>
  </si>
  <si>
    <t>Sistema consulta accesos directos temáticos correctamente.</t>
  </si>
  <si>
    <t>Sistema descarga resolución (PDF) correctamente.</t>
  </si>
  <si>
    <t>CASO 11</t>
  </si>
  <si>
    <t>Buscar resoluciones por texto libre.</t>
  </si>
  <si>
    <t>Visualizar resultados de búsqueda y navegación numerada sobre el conjunto de resultados.</t>
  </si>
  <si>
    <t>Filtrar resoluciones por categoría, período, sala y/o entidad de forma individual o combinada.</t>
  </si>
  <si>
    <t>Realizar búsqueda avanzada de resoluciones mediante la selección jerárquica de categoría, subcategoría e índice temático.</t>
  </si>
  <si>
    <t>Consultar accesos directos de clasificador temático  (Sistemas Administrativos, Otros Sistemas, Infracciones, Potestad Sancionadora).</t>
  </si>
  <si>
    <t>Visualizar archivo de la resolución en formato PDF.</t>
  </si>
  <si>
    <t>Descargar archivo de la resolución en formato PDF.</t>
  </si>
  <si>
    <t>Consultar gráficos de resoluciones por infracción,  de resoluciones por sistema administrativo y  de resoluciones por año.</t>
  </si>
  <si>
    <t>Consultar  información de orientación para el uso del buscador.</t>
  </si>
  <si>
    <t>Consultar texto del aviso legal del buscador.</t>
  </si>
  <si>
    <t>Consultar enlaces del buscador.</t>
  </si>
  <si>
    <t>Buscador Temático de Resoluciones del Tribunal Superior de Responsabilidades Administrativas (TSRA)</t>
  </si>
  <si>
    <t>Sistema muestra resultados de búsqueda correctamente.</t>
  </si>
  <si>
    <t>Sistema muestra resolución (PDF) correctamente.</t>
  </si>
  <si>
    <t>Sistema muestra ayuda correctamente.</t>
  </si>
  <si>
    <t>Sistema muestra panel de información general (Dashboard) correctamente.</t>
  </si>
  <si>
    <t>Sistema muestra aviso legal correctamente.</t>
  </si>
  <si>
    <t>Sistema muestra enlaces correctamente.</t>
  </si>
  <si>
    <t>EDGE</t>
  </si>
  <si>
    <t>Buscador Temático de Resoluciones del TSRA</t>
  </si>
  <si>
    <t>N.A.</t>
  </si>
  <si>
    <t xml:space="preserve">Buscador Temático de Resoluciones </t>
  </si>
  <si>
    <t>buscar</t>
  </si>
  <si>
    <t>Sistema muestra diseño sobrepuesto en la selección de columnas de la grilla de resultados</t>
  </si>
  <si>
    <t>Sistema muestra diseño sobrepuesto en la paginación de la grilla de resultados</t>
  </si>
  <si>
    <t>buscar avanzadamente</t>
  </si>
  <si>
    <t>Sistema no muestra ordenenado el listado de temas</t>
  </si>
  <si>
    <t>Sistema no muestra ordenenado el listado de subcategorías</t>
  </si>
  <si>
    <t>Sistema limpia filtros externos diferente a categoría, subcategoría y tema</t>
  </si>
  <si>
    <t>Oscar Huanca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</si>
</sst>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;@"/>
  </numFmts>
  <fonts count="27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rgb="FF000000"/>
      <name val="Arial"/>
    </font>
    <font>
      <b/>
      <sz val="11"/>
      <color rgb="FFFF0000"/>
      <name val="Arial"/>
    </font>
    <font>
      <b/>
      <sz val="11"/>
      <color rgb="FFFFFFFF"/>
      <name val="Arial"/>
    </font>
    <font>
      <sz val="11"/>
      <name val="Arial"/>
    </font>
    <font>
      <b/>
      <sz val="11"/>
      <color theme="0"/>
      <name val="Arial"/>
    </font>
    <font>
      <sz val="11"/>
      <color rgb="FF000000"/>
      <name val="Arial Narrow"/>
    </font>
    <font>
      <b/>
      <sz val="11"/>
      <color theme="1"/>
      <name val="Arial"/>
      <family val="2"/>
      <scheme val="minor"/>
    </font>
    <font>
      <u/>
      <sz val="11"/>
      <color theme="10"/>
      <name val="Arial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8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1"/>
      <color rgb="FFFFFFFF"/>
      <name val="Arial"/>
      <family val="2"/>
    </font>
    <font>
      <sz val="11"/>
      <color rgb="FF000000"/>
      <name val="Arial"/>
      <family val="2"/>
      <scheme val="minor"/>
    </font>
    <font>
      <b/>
      <sz val="11"/>
      <color rgb="FF000000"/>
      <name val="Arial"/>
      <family val="2"/>
      <scheme val="minor"/>
    </font>
    <font>
      <sz val="11"/>
      <name val="Arial"/>
      <family val="2"/>
      <scheme val="minor"/>
    </font>
    <font>
      <sz val="11"/>
      <color theme="0"/>
      <name val="Arial"/>
      <family val="2"/>
    </font>
    <font>
      <b/>
      <sz val="11"/>
      <color theme="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2E75B5"/>
        <bgColor rgb="FF2E75B5"/>
      </patternFill>
    </fill>
    <fill>
      <patternFill patternType="solid">
        <fgColor theme="0"/>
        <bgColor theme="0"/>
      </patternFill>
    </fill>
    <fill>
      <patternFill patternType="solid">
        <fgColor rgb="FF3F3F3F"/>
        <bgColor rgb="FF3F3F3F"/>
      </patternFill>
    </fill>
    <fill>
      <patternFill patternType="solid">
        <fgColor rgb="FFBFBFBF"/>
        <bgColor rgb="FFBFBFBF"/>
      </patternFill>
    </fill>
    <fill>
      <patternFill patternType="solid">
        <fgColor rgb="FF525252"/>
        <bgColor rgb="FF525252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rgb="FF92D050"/>
      </patternFill>
    </fill>
    <fill>
      <patternFill patternType="solid">
        <fgColor rgb="FFFFE598"/>
        <bgColor rgb="FFFFE598"/>
      </patternFill>
    </fill>
    <fill>
      <patternFill patternType="solid">
        <fgColor rgb="FFFFF2CB"/>
        <bgColor rgb="FFFFF2CB"/>
      </patternFill>
    </fill>
    <fill>
      <patternFill patternType="solid">
        <fgColor rgb="FFFFF2CC"/>
        <bgColor rgb="FFFFF2CC"/>
      </patternFill>
    </fill>
    <fill>
      <patternFill patternType="solid">
        <fgColor rgb="FF595959"/>
        <bgColor rgb="FF595959"/>
      </patternFill>
    </fill>
    <fill>
      <patternFill patternType="solid">
        <fgColor rgb="FFFFD965"/>
        <bgColor rgb="FFFFD965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5B9BD5"/>
        <bgColor rgb="FF5B9BD5"/>
      </patternFill>
    </fill>
    <fill>
      <patternFill patternType="solid">
        <fgColor rgb="FFA5A5A5"/>
        <bgColor rgb="FFA5A5A5"/>
      </patternFill>
    </fill>
    <fill>
      <patternFill patternType="solid">
        <fgColor rgb="FFE2EFD9"/>
        <bgColor rgb="FFE2EFD9"/>
      </patternFill>
    </fill>
    <fill>
      <patternFill patternType="solid">
        <fgColor rgb="FFD9D2E9"/>
        <bgColor rgb="FFD9D2E9"/>
      </patternFill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</fills>
  <borders count="4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757171"/>
      </right>
      <top/>
      <bottom style="thin">
        <color rgb="FF757171"/>
      </bottom>
      <diagonal/>
    </border>
    <border>
      <left style="thin">
        <color rgb="FF757171"/>
      </left>
      <right style="thin">
        <color rgb="FF757171"/>
      </right>
      <top/>
      <bottom style="thin">
        <color rgb="FF757171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57171"/>
      </right>
      <top/>
      <bottom/>
      <diagonal/>
    </border>
    <border>
      <left style="thin">
        <color rgb="FF757171"/>
      </left>
      <right style="thin">
        <color rgb="FF757171"/>
      </right>
      <top/>
      <bottom/>
      <diagonal/>
    </border>
    <border>
      <left style="thin">
        <color rgb="FF757171"/>
      </left>
      <right/>
      <top/>
      <bottom style="thin">
        <color rgb="FF757171"/>
      </bottom>
      <diagonal/>
    </border>
    <border>
      <left style="thin">
        <color rgb="FF757171"/>
      </left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210">
    <xf numFmtId="0" fontId="0" fillId="0" borderId="0" xfId="0"/>
    <xf numFmtId="0" fontId="4" fillId="0" borderId="0" xfId="0" applyFont="1" applyAlignment="1">
      <alignment wrapText="1"/>
    </xf>
    <xf numFmtId="0" fontId="5" fillId="0" borderId="0" xfId="0" applyFont="1"/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/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 wrapText="1"/>
    </xf>
    <xf numFmtId="14" fontId="7" fillId="2" borderId="5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9" fillId="3" borderId="2" xfId="0" applyFont="1" applyFill="1" applyBorder="1" applyAlignment="1">
      <alignment horizontal="center"/>
    </xf>
    <xf numFmtId="0" fontId="8" fillId="0" borderId="0" xfId="0" applyFont="1"/>
    <xf numFmtId="0" fontId="5" fillId="0" borderId="0" xfId="0" applyFont="1" applyAlignment="1">
      <alignment horizontal="left" wrapText="1"/>
    </xf>
    <xf numFmtId="0" fontId="4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6" fillId="6" borderId="16" xfId="0" applyFont="1" applyFill="1" applyBorder="1" applyAlignment="1">
      <alignment horizontal="center" vertical="center" wrapText="1"/>
    </xf>
    <xf numFmtId="0" fontId="4" fillId="6" borderId="16" xfId="0" applyFont="1" applyFill="1" applyBorder="1" applyAlignment="1">
      <alignment horizontal="center" vertical="center" wrapText="1"/>
    </xf>
    <xf numFmtId="0" fontId="4" fillId="19" borderId="2" xfId="0" applyFont="1" applyFill="1" applyBorder="1" applyAlignment="1">
      <alignment horizontal="left" vertical="center" wrapText="1"/>
    </xf>
    <xf numFmtId="0" fontId="4" fillId="19" borderId="2" xfId="0" applyFont="1" applyFill="1" applyBorder="1" applyAlignment="1">
      <alignment horizontal="center" vertical="center" wrapText="1"/>
    </xf>
    <xf numFmtId="0" fontId="6" fillId="20" borderId="29" xfId="0" applyFont="1" applyFill="1" applyBorder="1" applyAlignment="1">
      <alignment horizontal="left" vertical="center" wrapText="1"/>
    </xf>
    <xf numFmtId="0" fontId="4" fillId="20" borderId="29" xfId="0" applyFont="1" applyFill="1" applyBorder="1" applyAlignment="1">
      <alignment horizontal="center" vertical="center" wrapText="1"/>
    </xf>
    <xf numFmtId="49" fontId="6" fillId="0" borderId="0" xfId="0" applyNumberFormat="1" applyFont="1" applyAlignment="1">
      <alignment wrapText="1"/>
    </xf>
    <xf numFmtId="49" fontId="6" fillId="0" borderId="0" xfId="0" applyNumberFormat="1" applyFont="1" applyAlignment="1">
      <alignment horizontal="center" wrapText="1"/>
    </xf>
    <xf numFmtId="49" fontId="5" fillId="16" borderId="30" xfId="0" applyNumberFormat="1" applyFont="1" applyFill="1" applyBorder="1" applyAlignment="1">
      <alignment wrapText="1"/>
    </xf>
    <xf numFmtId="49" fontId="5" fillId="14" borderId="30" xfId="0" applyNumberFormat="1" applyFont="1" applyFill="1" applyBorder="1" applyAlignment="1">
      <alignment wrapText="1"/>
    </xf>
    <xf numFmtId="49" fontId="5" fillId="15" borderId="30" xfId="0" applyNumberFormat="1" applyFont="1" applyFill="1" applyBorder="1" applyAlignment="1">
      <alignment vertical="center"/>
    </xf>
    <xf numFmtId="49" fontId="5" fillId="9" borderId="30" xfId="0" applyNumberFormat="1" applyFont="1" applyFill="1" applyBorder="1" applyAlignment="1">
      <alignment vertical="center" wrapText="1"/>
    </xf>
    <xf numFmtId="49" fontId="5" fillId="8" borderId="30" xfId="0" applyNumberFormat="1" applyFont="1" applyFill="1" applyBorder="1" applyAlignment="1">
      <alignment wrapText="1"/>
    </xf>
    <xf numFmtId="49" fontId="5" fillId="18" borderId="30" xfId="0" applyNumberFormat="1" applyFont="1" applyFill="1" applyBorder="1" applyAlignment="1">
      <alignment wrapText="1"/>
    </xf>
    <xf numFmtId="0" fontId="12" fillId="0" borderId="0" xfId="0" applyFont="1"/>
    <xf numFmtId="49" fontId="5" fillId="13" borderId="30" xfId="0" applyNumberFormat="1" applyFont="1" applyFill="1" applyBorder="1" applyAlignment="1">
      <alignment wrapText="1"/>
    </xf>
    <xf numFmtId="0" fontId="6" fillId="6" borderId="17" xfId="0" applyFont="1" applyFill="1" applyBorder="1" applyAlignment="1">
      <alignment horizontal="center" vertical="center" wrapText="1"/>
    </xf>
    <xf numFmtId="0" fontId="6" fillId="6" borderId="20" xfId="0" applyFont="1" applyFill="1" applyBorder="1" applyAlignment="1">
      <alignment horizontal="center" vertical="center" wrapText="1"/>
    </xf>
    <xf numFmtId="0" fontId="4" fillId="6" borderId="17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top"/>
    </xf>
    <xf numFmtId="0" fontId="5" fillId="0" borderId="2" xfId="0" applyFont="1" applyBorder="1" applyAlignment="1">
      <alignment horizontal="left" vertical="top"/>
    </xf>
    <xf numFmtId="0" fontId="11" fillId="8" borderId="2" xfId="0" applyFont="1" applyFill="1" applyBorder="1" applyAlignment="1">
      <alignment horizontal="left" vertical="top" wrapText="1"/>
    </xf>
    <xf numFmtId="0" fontId="7" fillId="0" borderId="11" xfId="0" applyFont="1" applyBorder="1" applyAlignment="1">
      <alignment vertical="top" wrapText="1"/>
    </xf>
    <xf numFmtId="0" fontId="7" fillId="0" borderId="37" xfId="0" applyFont="1" applyBorder="1" applyAlignment="1">
      <alignment vertical="top" wrapText="1"/>
    </xf>
    <xf numFmtId="0" fontId="17" fillId="0" borderId="37" xfId="0" applyFont="1" applyBorder="1" applyAlignment="1">
      <alignment horizontal="left" vertical="top" wrapText="1"/>
    </xf>
    <xf numFmtId="0" fontId="17" fillId="0" borderId="2" xfId="0" applyFont="1" applyBorder="1" applyAlignment="1">
      <alignment vertical="top" wrapText="1"/>
    </xf>
    <xf numFmtId="0" fontId="14" fillId="0" borderId="2" xfId="1" applyBorder="1" applyAlignment="1">
      <alignment horizontal="left" vertical="top" wrapText="1"/>
    </xf>
    <xf numFmtId="0" fontId="7" fillId="2" borderId="2" xfId="0" applyFont="1" applyFill="1" applyBorder="1" applyAlignment="1">
      <alignment vertical="top" wrapText="1"/>
    </xf>
    <xf numFmtId="0" fontId="5" fillId="0" borderId="27" xfId="0" applyFont="1" applyBorder="1" applyAlignment="1">
      <alignment horizontal="center" vertical="top"/>
    </xf>
    <xf numFmtId="0" fontId="11" fillId="8" borderId="5" xfId="0" applyFont="1" applyFill="1" applyBorder="1" applyAlignment="1">
      <alignment horizontal="center" vertical="top"/>
    </xf>
    <xf numFmtId="0" fontId="15" fillId="0" borderId="2" xfId="0" applyFont="1" applyBorder="1" applyAlignment="1">
      <alignment horizontal="left" vertical="top"/>
    </xf>
    <xf numFmtId="0" fontId="5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3" xfId="0" applyFont="1" applyBorder="1" applyAlignment="1">
      <alignment horizontal="center" vertical="top"/>
    </xf>
    <xf numFmtId="0" fontId="5" fillId="0" borderId="2" xfId="0" applyFont="1" applyBorder="1" applyAlignment="1">
      <alignment vertical="top"/>
    </xf>
    <xf numFmtId="1" fontId="7" fillId="0" borderId="2" xfId="0" applyNumberFormat="1" applyFont="1" applyBorder="1" applyAlignment="1">
      <alignment vertical="center"/>
    </xf>
    <xf numFmtId="0" fontId="17" fillId="0" borderId="4" xfId="0" applyFont="1" applyBorder="1" applyAlignment="1">
      <alignment horizontal="left" vertical="center" wrapText="1"/>
    </xf>
    <xf numFmtId="0" fontId="17" fillId="2" borderId="5" xfId="0" applyFont="1" applyFill="1" applyBorder="1" applyAlignment="1">
      <alignment horizontal="left"/>
    </xf>
    <xf numFmtId="0" fontId="17" fillId="0" borderId="11" xfId="0" applyFont="1" applyBorder="1" applyAlignment="1">
      <alignment horizontal="left"/>
    </xf>
    <xf numFmtId="0" fontId="21" fillId="3" borderId="2" xfId="0" applyFont="1" applyFill="1" applyBorder="1" applyAlignment="1">
      <alignment horizontal="center" vertical="center"/>
    </xf>
    <xf numFmtId="0" fontId="18" fillId="19" borderId="2" xfId="0" applyFont="1" applyFill="1" applyBorder="1" applyAlignment="1">
      <alignment horizontal="center" vertical="center" wrapText="1"/>
    </xf>
    <xf numFmtId="1" fontId="9" fillId="3" borderId="2" xfId="0" applyNumberFormat="1" applyFont="1" applyFill="1" applyBorder="1" applyAlignment="1">
      <alignment horizontal="right" vertical="center"/>
    </xf>
    <xf numFmtId="0" fontId="17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4" borderId="1" xfId="0" applyFont="1" applyFill="1" applyBorder="1"/>
    <xf numFmtId="0" fontId="23" fillId="4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 vertical="center"/>
    </xf>
    <xf numFmtId="0" fontId="13" fillId="6" borderId="19" xfId="0" applyFont="1" applyFill="1" applyBorder="1" applyAlignment="1">
      <alignment horizontal="center" vertical="center" wrapText="1"/>
    </xf>
    <xf numFmtId="0" fontId="13" fillId="6" borderId="21" xfId="0" applyFont="1" applyFill="1" applyBorder="1" applyAlignment="1">
      <alignment horizontal="center" vertical="center" wrapText="1"/>
    </xf>
    <xf numFmtId="0" fontId="13" fillId="6" borderId="23" xfId="0" applyFont="1" applyFill="1" applyBorder="1" applyAlignment="1">
      <alignment horizontal="center" vertical="center" wrapText="1"/>
    </xf>
    <xf numFmtId="1" fontId="13" fillId="9" borderId="24" xfId="0" applyNumberFormat="1" applyFont="1" applyFill="1" applyBorder="1" applyAlignment="1">
      <alignment horizontal="center" vertical="center"/>
    </xf>
    <xf numFmtId="1" fontId="13" fillId="10" borderId="19" xfId="0" applyNumberFormat="1" applyFont="1" applyFill="1" applyBorder="1" applyAlignment="1">
      <alignment horizontal="center" vertical="center"/>
    </xf>
    <xf numFmtId="1" fontId="13" fillId="11" borderId="21" xfId="0" applyNumberFormat="1" applyFont="1" applyFill="1" applyBorder="1" applyAlignment="1">
      <alignment horizontal="center" vertical="center"/>
    </xf>
    <xf numFmtId="1" fontId="13" fillId="13" borderId="19" xfId="0" applyNumberFormat="1" applyFont="1" applyFill="1" applyBorder="1" applyAlignment="1">
      <alignment horizontal="center" vertical="center"/>
    </xf>
    <xf numFmtId="1" fontId="13" fillId="6" borderId="23" xfId="0" applyNumberFormat="1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left" vertical="center" wrapText="1"/>
    </xf>
    <xf numFmtId="0" fontId="23" fillId="12" borderId="2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1" fontId="13" fillId="0" borderId="28" xfId="0" applyNumberFormat="1" applyFont="1" applyBorder="1" applyAlignment="1">
      <alignment horizontal="center" vertical="center" wrapText="1"/>
    </xf>
    <xf numFmtId="1" fontId="3" fillId="4" borderId="29" xfId="0" applyNumberFormat="1" applyFont="1" applyFill="1" applyBorder="1" applyAlignment="1">
      <alignment horizontal="center" vertical="center"/>
    </xf>
    <xf numFmtId="0" fontId="3" fillId="0" borderId="28" xfId="0" applyFont="1" applyBorder="1" applyAlignment="1">
      <alignment horizontal="left" vertical="center" wrapText="1"/>
    </xf>
    <xf numFmtId="0" fontId="20" fillId="8" borderId="2" xfId="0" applyFont="1" applyFill="1" applyBorder="1" applyAlignment="1">
      <alignment horizontal="left" vertical="center" wrapText="1"/>
    </xf>
    <xf numFmtId="0" fontId="3" fillId="0" borderId="31" xfId="0" applyFont="1" applyBorder="1" applyAlignment="1">
      <alignment horizontal="left" vertical="center" wrapText="1"/>
    </xf>
    <xf numFmtId="0" fontId="3" fillId="0" borderId="31" xfId="0" applyFont="1" applyBorder="1" applyAlignment="1">
      <alignment horizontal="center" vertical="center" wrapText="1"/>
    </xf>
    <xf numFmtId="1" fontId="13" fillId="0" borderId="2" xfId="0" applyNumberFormat="1" applyFont="1" applyBorder="1" applyAlignment="1">
      <alignment horizontal="center" vertical="center" wrapText="1"/>
    </xf>
    <xf numFmtId="1" fontId="3" fillId="4" borderId="2" xfId="0" applyNumberFormat="1" applyFont="1" applyFill="1" applyBorder="1" applyAlignment="1">
      <alignment horizontal="center" vertical="center"/>
    </xf>
    <xf numFmtId="0" fontId="3" fillId="0" borderId="19" xfId="0" applyFont="1" applyBorder="1" applyAlignment="1">
      <alignment horizontal="left" vertical="center" wrapText="1"/>
    </xf>
    <xf numFmtId="0" fontId="3" fillId="0" borderId="34" xfId="0" applyFont="1" applyBorder="1" applyAlignment="1">
      <alignment horizontal="left" vertical="center" wrapText="1"/>
    </xf>
    <xf numFmtId="49" fontId="3" fillId="4" borderId="1" xfId="0" applyNumberFormat="1" applyFont="1" applyFill="1" applyBorder="1" applyAlignment="1">
      <alignment wrapText="1"/>
    </xf>
    <xf numFmtId="0" fontId="23" fillId="19" borderId="2" xfId="0" applyFont="1" applyFill="1" applyBorder="1" applyAlignment="1">
      <alignment horizontal="left" vertical="center" wrapText="1"/>
    </xf>
    <xf numFmtId="0" fontId="23" fillId="19" borderId="2" xfId="0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left" vertical="center" wrapText="1"/>
    </xf>
    <xf numFmtId="0" fontId="13" fillId="20" borderId="29" xfId="0" applyFont="1" applyFill="1" applyBorder="1" applyAlignment="1">
      <alignment horizontal="left" vertical="center" wrapText="1"/>
    </xf>
    <xf numFmtId="0" fontId="23" fillId="20" borderId="29" xfId="0" applyFont="1" applyFill="1" applyBorder="1" applyAlignment="1">
      <alignment horizontal="center" vertical="center" wrapText="1"/>
    </xf>
    <xf numFmtId="1" fontId="13" fillId="0" borderId="17" xfId="0" applyNumberFormat="1" applyFont="1" applyBorder="1" applyAlignment="1">
      <alignment horizontal="center" vertical="center" wrapText="1"/>
    </xf>
    <xf numFmtId="1" fontId="3" fillId="4" borderId="16" xfId="0" applyNumberFormat="1" applyFont="1" applyFill="1" applyBorder="1" applyAlignment="1">
      <alignment horizontal="center" vertical="center"/>
    </xf>
    <xf numFmtId="0" fontId="3" fillId="0" borderId="17" xfId="0" applyFont="1" applyBorder="1" applyAlignment="1">
      <alignment horizontal="left" vertical="center" wrapText="1"/>
    </xf>
    <xf numFmtId="0" fontId="13" fillId="0" borderId="19" xfId="0" applyFont="1" applyBorder="1" applyAlignment="1">
      <alignment horizontal="left" vertical="center"/>
    </xf>
    <xf numFmtId="0" fontId="3" fillId="0" borderId="35" xfId="0" applyFont="1" applyBorder="1" applyAlignment="1">
      <alignment horizontal="left" vertical="center"/>
    </xf>
    <xf numFmtId="0" fontId="13" fillId="0" borderId="19" xfId="0" applyFont="1" applyBorder="1" applyAlignment="1">
      <alignment horizontal="right" vertical="center"/>
    </xf>
    <xf numFmtId="0" fontId="13" fillId="0" borderId="0" xfId="0" applyFont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1" fontId="13" fillId="6" borderId="19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13" fillId="0" borderId="0" xfId="0" applyNumberFormat="1" applyFont="1" applyAlignment="1">
      <alignment wrapText="1"/>
    </xf>
    <xf numFmtId="49" fontId="13" fillId="0" borderId="0" xfId="0" applyNumberFormat="1" applyFont="1" applyAlignment="1">
      <alignment horizontal="center" wrapText="1"/>
    </xf>
    <xf numFmtId="49" fontId="3" fillId="16" borderId="30" xfId="0" applyNumberFormat="1" applyFont="1" applyFill="1" applyBorder="1" applyAlignment="1">
      <alignment wrapText="1"/>
    </xf>
    <xf numFmtId="49" fontId="3" fillId="14" borderId="30" xfId="0" applyNumberFormat="1" applyFont="1" applyFill="1" applyBorder="1" applyAlignment="1">
      <alignment wrapText="1"/>
    </xf>
    <xf numFmtId="49" fontId="3" fillId="15" borderId="30" xfId="0" applyNumberFormat="1" applyFont="1" applyFill="1" applyBorder="1" applyAlignment="1">
      <alignment vertical="center"/>
    </xf>
    <xf numFmtId="49" fontId="3" fillId="9" borderId="30" xfId="0" applyNumberFormat="1" applyFont="1" applyFill="1" applyBorder="1" applyAlignment="1">
      <alignment vertical="center" wrapText="1"/>
    </xf>
    <xf numFmtId="49" fontId="3" fillId="8" borderId="30" xfId="0" applyNumberFormat="1" applyFont="1" applyFill="1" applyBorder="1" applyAlignment="1">
      <alignment wrapText="1"/>
    </xf>
    <xf numFmtId="49" fontId="3" fillId="18" borderId="30" xfId="0" applyNumberFormat="1" applyFont="1" applyFill="1" applyBorder="1" applyAlignment="1">
      <alignment wrapText="1"/>
    </xf>
    <xf numFmtId="0" fontId="13" fillId="14" borderId="26" xfId="0" applyFont="1" applyFill="1" applyBorder="1" applyAlignment="1">
      <alignment horizontal="center" vertical="center" wrapText="1"/>
    </xf>
    <xf numFmtId="0" fontId="13" fillId="15" borderId="19" xfId="0" applyFont="1" applyFill="1" applyBorder="1" applyAlignment="1">
      <alignment horizontal="center" vertical="center" wrapText="1"/>
    </xf>
    <xf numFmtId="0" fontId="13" fillId="16" borderId="21" xfId="0" applyFont="1" applyFill="1" applyBorder="1" applyAlignment="1">
      <alignment horizontal="center" vertical="center" wrapText="1"/>
    </xf>
    <xf numFmtId="0" fontId="13" fillId="9" borderId="19" xfId="0" applyFont="1" applyFill="1" applyBorder="1" applyAlignment="1">
      <alignment horizontal="center" vertical="center" wrapText="1"/>
    </xf>
    <xf numFmtId="0" fontId="13" fillId="17" borderId="21" xfId="0" applyFont="1" applyFill="1" applyBorder="1" applyAlignment="1">
      <alignment horizontal="center" vertical="center" wrapText="1"/>
    </xf>
    <xf numFmtId="0" fontId="13" fillId="18" borderId="19" xfId="0" applyFont="1" applyFill="1" applyBorder="1" applyAlignment="1">
      <alignment horizontal="center" vertical="center" wrapText="1"/>
    </xf>
    <xf numFmtId="0" fontId="22" fillId="21" borderId="32" xfId="0" applyFont="1" applyFill="1" applyBorder="1" applyAlignment="1">
      <alignment horizontal="center" vertical="center" wrapText="1"/>
    </xf>
    <xf numFmtId="0" fontId="22" fillId="21" borderId="33" xfId="0" applyFont="1" applyFill="1" applyBorder="1" applyAlignment="1">
      <alignment horizontal="center" vertical="center" wrapText="1"/>
    </xf>
    <xf numFmtId="0" fontId="22" fillId="21" borderId="39" xfId="0" applyFont="1" applyFill="1" applyBorder="1" applyAlignment="1">
      <alignment horizontal="center" vertical="center" wrapText="1"/>
    </xf>
    <xf numFmtId="0" fontId="22" fillId="21" borderId="40" xfId="0" applyFont="1" applyFill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/>
    </xf>
    <xf numFmtId="9" fontId="23" fillId="22" borderId="38" xfId="0" applyNumberFormat="1" applyFont="1" applyFill="1" applyBorder="1" applyAlignment="1">
      <alignment horizontal="center" vertical="center" wrapText="1"/>
    </xf>
    <xf numFmtId="0" fontId="22" fillId="21" borderId="41" xfId="0" applyFont="1" applyFill="1" applyBorder="1" applyAlignment="1">
      <alignment horizontal="center" vertical="center" wrapText="1"/>
    </xf>
    <xf numFmtId="0" fontId="22" fillId="21" borderId="42" xfId="0" applyFont="1" applyFill="1" applyBorder="1" applyAlignment="1">
      <alignment horizontal="center" vertical="center" wrapText="1"/>
    </xf>
    <xf numFmtId="0" fontId="13" fillId="6" borderId="31" xfId="0" applyFont="1" applyFill="1" applyBorder="1" applyAlignment="1">
      <alignment horizontal="center" vertical="center" wrapText="1"/>
    </xf>
    <xf numFmtId="0" fontId="13" fillId="6" borderId="26" xfId="0" applyFont="1" applyFill="1" applyBorder="1" applyAlignment="1">
      <alignment horizontal="center" vertical="center" wrapText="1"/>
    </xf>
    <xf numFmtId="9" fontId="23" fillId="22" borderId="44" xfId="0" applyNumberFormat="1" applyFont="1" applyFill="1" applyBorder="1" applyAlignment="1">
      <alignment horizontal="center" vertical="center" wrapText="1"/>
    </xf>
    <xf numFmtId="9" fontId="23" fillId="22" borderId="43" xfId="0" applyNumberFormat="1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vertical="top" wrapText="1"/>
    </xf>
    <xf numFmtId="164" fontId="5" fillId="0" borderId="2" xfId="0" quotePrefix="1" applyNumberFormat="1" applyFont="1" applyBorder="1" applyAlignment="1">
      <alignment horizontal="center" vertical="top"/>
    </xf>
    <xf numFmtId="0" fontId="7" fillId="0" borderId="0" xfId="0" applyFont="1" applyAlignment="1">
      <alignment horizontal="left"/>
    </xf>
    <xf numFmtId="0" fontId="5" fillId="0" borderId="36" xfId="0" applyFont="1" applyBorder="1"/>
    <xf numFmtId="0" fontId="5" fillId="0" borderId="1" xfId="0" applyFont="1" applyBorder="1"/>
    <xf numFmtId="0" fontId="17" fillId="2" borderId="2" xfId="0" applyFont="1" applyFill="1" applyBorder="1" applyAlignment="1">
      <alignment horizontal="left" vertical="top" wrapText="1"/>
    </xf>
    <xf numFmtId="0" fontId="5" fillId="0" borderId="28" xfId="0" applyFont="1" applyBorder="1" applyAlignment="1">
      <alignment horizontal="left" vertical="top" wrapText="1"/>
    </xf>
    <xf numFmtId="0" fontId="7" fillId="2" borderId="2" xfId="0" applyFont="1" applyFill="1" applyBorder="1" applyAlignment="1">
      <alignment vertical="center"/>
    </xf>
    <xf numFmtId="0" fontId="9" fillId="3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1" fontId="13" fillId="9" borderId="24" xfId="0" applyNumberFormat="1" applyFont="1" applyFill="1" applyBorder="1" applyAlignment="1">
      <alignment horizontal="center" vertical="center" wrapText="1"/>
    </xf>
    <xf numFmtId="1" fontId="13" fillId="10" borderId="19" xfId="0" applyNumberFormat="1" applyFont="1" applyFill="1" applyBorder="1" applyAlignment="1">
      <alignment horizontal="center" vertical="center" wrapText="1"/>
    </xf>
    <xf numFmtId="1" fontId="13" fillId="11" borderId="21" xfId="0" applyNumberFormat="1" applyFont="1" applyFill="1" applyBorder="1" applyAlignment="1">
      <alignment horizontal="center" vertical="center" wrapText="1"/>
    </xf>
    <xf numFmtId="1" fontId="13" fillId="13" borderId="19" xfId="0" applyNumberFormat="1" applyFont="1" applyFill="1" applyBorder="1" applyAlignment="1">
      <alignment horizontal="center" vertical="center" wrapText="1"/>
    </xf>
    <xf numFmtId="1" fontId="13" fillId="6" borderId="23" xfId="0" applyNumberFormat="1" applyFont="1" applyFill="1" applyBorder="1" applyAlignment="1">
      <alignment horizontal="center" vertical="center" wrapText="1"/>
    </xf>
    <xf numFmtId="14" fontId="6" fillId="6" borderId="18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14" fontId="16" fillId="6" borderId="16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5" fillId="8" borderId="2" xfId="0" applyFont="1" applyFill="1" applyBorder="1" applyAlignment="1">
      <alignment horizontal="left" vertical="top" wrapText="1"/>
    </xf>
    <xf numFmtId="0" fontId="15" fillId="10" borderId="2" xfId="0" applyFont="1" applyFill="1" applyBorder="1" applyAlignment="1">
      <alignment horizontal="left" vertical="center" wrapText="1"/>
    </xf>
    <xf numFmtId="0" fontId="17" fillId="19" borderId="2" xfId="0" applyFont="1" applyFill="1" applyBorder="1" applyAlignment="1">
      <alignment horizontal="left" vertical="center" wrapText="1"/>
    </xf>
    <xf numFmtId="0" fontId="15" fillId="20" borderId="29" xfId="0" applyFont="1" applyFill="1" applyBorder="1" applyAlignment="1">
      <alignment horizontal="left" vertical="center" wrapText="1"/>
    </xf>
    <xf numFmtId="0" fontId="5" fillId="0" borderId="2" xfId="0" applyFont="1" applyBorder="1" applyAlignment="1" applyProtection="1">
      <alignment horizontal="left" vertical="top" wrapText="1"/>
      <protection locked="0"/>
    </xf>
    <xf numFmtId="0" fontId="5" fillId="0" borderId="2" xfId="0" applyFont="1" applyBorder="1" applyAlignment="1" applyProtection="1">
      <alignment horizontal="left" vertical="top"/>
      <protection locked="0"/>
    </xf>
    <xf numFmtId="164" fontId="5" fillId="0" borderId="2" xfId="0" applyNumberFormat="1" applyFont="1" applyBorder="1" applyAlignment="1" applyProtection="1">
      <alignment horizontal="center" vertical="top"/>
      <protection locked="0"/>
    </xf>
    <xf numFmtId="0" fontId="5" fillId="0" borderId="17" xfId="0" applyFont="1" applyBorder="1" applyAlignment="1" applyProtection="1">
      <alignment horizontal="left" vertical="top"/>
      <protection locked="0"/>
    </xf>
    <xf numFmtId="0" fontId="5" fillId="0" borderId="27" xfId="0" applyFont="1" applyBorder="1" applyAlignment="1" applyProtection="1">
      <alignment horizontal="left" vertical="top"/>
      <protection locked="0"/>
    </xf>
    <xf numFmtId="0" fontId="11" fillId="8" borderId="2" xfId="0" applyFont="1" applyFill="1" applyBorder="1" applyAlignment="1" applyProtection="1">
      <alignment horizontal="left" vertical="top" wrapText="1"/>
      <protection locked="0"/>
    </xf>
    <xf numFmtId="0" fontId="18" fillId="8" borderId="16" xfId="0" applyFont="1" applyFill="1" applyBorder="1" applyAlignment="1">
      <alignment horizontal="center" vertical="center" wrapText="1"/>
    </xf>
    <xf numFmtId="0" fontId="16" fillId="8" borderId="16" xfId="0" applyFont="1" applyFill="1" applyBorder="1" applyAlignment="1">
      <alignment horizontal="center" vertical="center" wrapText="1"/>
    </xf>
    <xf numFmtId="14" fontId="16" fillId="8" borderId="16" xfId="0" applyNumberFormat="1" applyFont="1" applyFill="1" applyBorder="1" applyAlignment="1">
      <alignment horizontal="center" vertical="center" wrapText="1"/>
    </xf>
    <xf numFmtId="0" fontId="13" fillId="10" borderId="37" xfId="0" applyFont="1" applyFill="1" applyBorder="1" applyAlignment="1">
      <alignment horizontal="left" vertical="center" wrapText="1"/>
    </xf>
    <xf numFmtId="0" fontId="23" fillId="12" borderId="37" xfId="0" applyFont="1" applyFill="1" applyBorder="1" applyAlignment="1">
      <alignment horizontal="center" vertical="center" wrapText="1"/>
    </xf>
    <xf numFmtId="0" fontId="5" fillId="0" borderId="2" xfId="0" quotePrefix="1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center" wrapText="1"/>
    </xf>
    <xf numFmtId="0" fontId="1" fillId="0" borderId="37" xfId="0" applyFont="1" applyBorder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9" fillId="3" borderId="29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/>
    </xf>
    <xf numFmtId="14" fontId="5" fillId="0" borderId="2" xfId="0" applyNumberFormat="1" applyFont="1" applyBorder="1" applyAlignment="1">
      <alignment horizontal="center" vertical="top"/>
    </xf>
    <xf numFmtId="0" fontId="26" fillId="8" borderId="2" xfId="0" applyFont="1" applyFill="1" applyBorder="1" applyAlignment="1" applyProtection="1">
      <alignment horizontal="left" vertical="top" wrapText="1"/>
      <protection locked="0"/>
    </xf>
    <xf numFmtId="0" fontId="5" fillId="0" borderId="36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/>
    <xf numFmtId="1" fontId="7" fillId="0" borderId="6" xfId="0" applyNumberFormat="1" applyFont="1" applyBorder="1" applyAlignment="1">
      <alignment horizontal="center" vertical="center"/>
    </xf>
    <xf numFmtId="0" fontId="10" fillId="0" borderId="6" xfId="0" applyFont="1" applyBorder="1"/>
    <xf numFmtId="0" fontId="10" fillId="0" borderId="8" xfId="0" applyFont="1" applyBorder="1"/>
    <xf numFmtId="1" fontId="7" fillId="0" borderId="3" xfId="0" applyNumberFormat="1" applyFont="1" applyBorder="1" applyAlignment="1">
      <alignment horizontal="center" vertical="center"/>
    </xf>
    <xf numFmtId="0" fontId="9" fillId="7" borderId="17" xfId="0" applyFont="1" applyFill="1" applyBorder="1" applyAlignment="1">
      <alignment horizontal="center" vertical="center" wrapText="1"/>
    </xf>
    <xf numFmtId="0" fontId="10" fillId="0" borderId="22" xfId="0" applyFont="1" applyBorder="1"/>
    <xf numFmtId="0" fontId="9" fillId="7" borderId="18" xfId="0" applyFont="1" applyFill="1" applyBorder="1" applyAlignment="1">
      <alignment horizontal="center" vertical="center" wrapText="1"/>
    </xf>
    <xf numFmtId="0" fontId="9" fillId="3" borderId="37" xfId="0" applyFont="1" applyFill="1" applyBorder="1" applyAlignment="1">
      <alignment horizontal="center" vertical="center"/>
    </xf>
    <xf numFmtId="0" fontId="10" fillId="0" borderId="37" xfId="0" applyFont="1" applyBorder="1"/>
    <xf numFmtId="0" fontId="6" fillId="2" borderId="17" xfId="0" applyFont="1" applyFill="1" applyBorder="1" applyAlignment="1">
      <alignment horizontal="center" vertical="center" wrapText="1"/>
    </xf>
    <xf numFmtId="0" fontId="10" fillId="0" borderId="25" xfId="0" applyFont="1" applyBorder="1" applyAlignment="1">
      <alignment vertical="center" wrapText="1"/>
    </xf>
    <xf numFmtId="0" fontId="10" fillId="0" borderId="28" xfId="0" applyFont="1" applyBorder="1" applyAlignment="1">
      <alignment vertical="center" wrapText="1"/>
    </xf>
    <xf numFmtId="0" fontId="3" fillId="0" borderId="36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0" fontId="23" fillId="0" borderId="7" xfId="0" applyFont="1" applyBorder="1" applyAlignment="1">
      <alignment horizontal="center" vertical="center" wrapText="1"/>
    </xf>
    <xf numFmtId="0" fontId="24" fillId="0" borderId="9" xfId="0" applyFont="1" applyBorder="1"/>
    <xf numFmtId="0" fontId="24" fillId="0" borderId="10" xfId="0" applyFont="1" applyBorder="1"/>
    <xf numFmtId="0" fontId="20" fillId="5" borderId="13" xfId="0" applyFont="1" applyFill="1" applyBorder="1" applyAlignment="1">
      <alignment horizontal="center" vertical="center" wrapText="1"/>
    </xf>
    <xf numFmtId="0" fontId="24" fillId="0" borderId="14" xfId="0" applyFont="1" applyBorder="1"/>
    <xf numFmtId="0" fontId="24" fillId="0" borderId="15" xfId="0" applyFont="1" applyBorder="1"/>
    <xf numFmtId="0" fontId="20" fillId="5" borderId="7" xfId="0" applyFont="1" applyFill="1" applyBorder="1" applyAlignment="1">
      <alignment horizontal="center" vertical="center" wrapText="1"/>
    </xf>
    <xf numFmtId="0" fontId="5" fillId="0" borderId="36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36" xfId="0" applyFont="1" applyBorder="1"/>
    <xf numFmtId="0" fontId="5" fillId="0" borderId="1" xfId="0" applyFont="1" applyBorder="1"/>
  </cellXfs>
  <cellStyles count="2">
    <cellStyle name="Hipervínculo" xfId="1" builtinId="8"/>
    <cellStyle name="Normal" xfId="0" builtinId="0"/>
  </cellStyles>
  <dxfs count="30">
    <dxf>
      <font>
        <color theme="1"/>
      </font>
      <fill>
        <patternFill patternType="solid">
          <fgColor rgb="FFFF0000"/>
          <bgColor rgb="FFFF4F4F"/>
        </patternFill>
      </fill>
    </dxf>
    <dxf>
      <font>
        <color theme="1"/>
      </font>
      <fill>
        <patternFill patternType="solid">
          <fgColor rgb="FFFFFF00"/>
          <bgColor rgb="FFFFFF85"/>
        </patternFill>
      </fill>
    </dxf>
    <dxf>
      <font>
        <color theme="1"/>
      </font>
      <fill>
        <patternFill patternType="solid">
          <fgColor rgb="FF2E75B5"/>
          <bgColor theme="4" tint="0.39994506668294322"/>
        </patternFill>
      </fill>
    </dxf>
    <dxf>
      <font>
        <color theme="1"/>
      </font>
      <fill>
        <patternFill patternType="solid">
          <fgColor theme="4"/>
          <bgColor theme="7" tint="0.59996337778862885"/>
        </patternFill>
      </fill>
    </dxf>
    <dxf>
      <font>
        <color theme="1"/>
      </font>
      <fill>
        <patternFill patternType="solid">
          <fgColor rgb="FFFFD965"/>
          <bgColor theme="9" tint="0.79998168889431442"/>
        </patternFill>
      </fill>
    </dxf>
    <dxf>
      <font>
        <color theme="1"/>
      </font>
      <fill>
        <patternFill patternType="solid">
          <fgColor rgb="FFA5A5A5"/>
          <bgColor rgb="FFE2CFED"/>
        </patternFill>
      </fill>
    </dxf>
    <dxf>
      <font>
        <color rgb="FF000000"/>
      </font>
      <fill>
        <patternFill patternType="solid">
          <fgColor rgb="FFFF0000"/>
          <bgColor rgb="FFFF0000"/>
        </patternFill>
      </fill>
    </dxf>
    <dxf>
      <font>
        <color theme="1"/>
      </font>
      <fill>
        <patternFill patternType="solid">
          <fgColor rgb="FFFFD965"/>
          <bgColor rgb="FFFFD965"/>
        </patternFill>
      </fill>
    </dxf>
    <dxf>
      <font>
        <color theme="1"/>
      </font>
      <fill>
        <patternFill patternType="solid">
          <fgColor rgb="FFA8D08D"/>
          <bgColor rgb="FFA8D08D"/>
        </patternFill>
      </fill>
    </dxf>
    <dxf>
      <font>
        <color theme="1"/>
      </font>
      <fill>
        <patternFill patternType="solid">
          <fgColor rgb="FFFFFF00"/>
          <bgColor rgb="FFFFFF00"/>
        </patternFill>
      </fill>
    </dxf>
    <dxf>
      <font>
        <color rgb="FF000000"/>
      </font>
      <fill>
        <patternFill patternType="solid">
          <fgColor rgb="FF9CC2E5"/>
          <bgColor rgb="FF9CC2E5"/>
        </patternFill>
      </fill>
    </dxf>
    <dxf>
      <font>
        <color theme="1"/>
      </font>
      <fill>
        <patternFill patternType="solid">
          <fgColor rgb="FFBFBFBF"/>
          <bgColor rgb="FFBFBFBF"/>
        </patternFill>
      </fill>
    </dxf>
    <dxf>
      <font>
        <color theme="1"/>
      </font>
      <fill>
        <patternFill patternType="solid">
          <fgColor rgb="FF7F7F7F"/>
          <bgColor rgb="FF7F7F7F"/>
        </patternFill>
      </fill>
    </dxf>
    <dxf>
      <fill>
        <patternFill patternType="solid">
          <fgColor rgb="FF4A86E8"/>
          <bgColor rgb="FF4A86E8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FF0000"/>
          <bgColor rgb="FFFF0000"/>
        </patternFill>
      </fill>
    </dxf>
    <dxf>
      <font>
        <color theme="1"/>
      </font>
      <fill>
        <patternFill patternType="solid">
          <fgColor rgb="FFFFD965"/>
          <bgColor rgb="FFFFD965"/>
        </patternFill>
      </fill>
    </dxf>
    <dxf>
      <font>
        <color theme="1"/>
      </font>
      <fill>
        <patternFill patternType="solid">
          <fgColor rgb="FFA8D08D"/>
          <bgColor rgb="FFA8D08D"/>
        </patternFill>
      </fill>
    </dxf>
    <dxf>
      <font>
        <color theme="1"/>
      </font>
      <fill>
        <patternFill patternType="solid">
          <fgColor rgb="FFFFFF00"/>
          <bgColor rgb="FFFFFF00"/>
        </patternFill>
      </fill>
    </dxf>
    <dxf>
      <font>
        <color rgb="FF000000"/>
      </font>
      <fill>
        <patternFill patternType="solid">
          <fgColor rgb="FF9CC2E5"/>
          <bgColor rgb="FF9CC2E5"/>
        </patternFill>
      </fill>
    </dxf>
    <dxf>
      <font>
        <color theme="1"/>
      </font>
      <fill>
        <patternFill patternType="solid">
          <fgColor rgb="FFBFBFBF"/>
          <bgColor rgb="FFBFBFBF"/>
        </patternFill>
      </fill>
    </dxf>
    <dxf>
      <font>
        <color theme="1"/>
      </font>
      <fill>
        <patternFill patternType="solid">
          <fgColor rgb="FF7F7F7F"/>
          <bgColor rgb="FF7F7F7F"/>
        </patternFill>
      </fill>
    </dxf>
    <dxf>
      <font>
        <color rgb="FF000000"/>
      </font>
      <fill>
        <patternFill patternType="solid">
          <fgColor rgb="FFFF0000"/>
          <bgColor rgb="FFFF0000"/>
        </patternFill>
      </fill>
    </dxf>
    <dxf>
      <font>
        <color theme="1"/>
      </font>
      <fill>
        <patternFill patternType="solid">
          <fgColor rgb="FFFFD965"/>
          <bgColor rgb="FFFFD965"/>
        </patternFill>
      </fill>
    </dxf>
    <dxf>
      <font>
        <color theme="1"/>
      </font>
      <fill>
        <patternFill patternType="solid">
          <fgColor rgb="FFA8D08D"/>
          <bgColor rgb="FFA8D08D"/>
        </patternFill>
      </fill>
    </dxf>
    <dxf>
      <font>
        <color theme="1"/>
      </font>
      <fill>
        <patternFill patternType="solid">
          <fgColor rgb="FFFFFF00"/>
          <bgColor rgb="FFFFFF00"/>
        </patternFill>
      </fill>
    </dxf>
    <dxf>
      <font>
        <color rgb="FF000000"/>
      </font>
      <fill>
        <patternFill patternType="solid">
          <fgColor rgb="FF9CC2E5"/>
          <bgColor rgb="FF9CC2E5"/>
        </patternFill>
      </fill>
    </dxf>
    <dxf>
      <font>
        <color theme="1"/>
      </font>
      <fill>
        <patternFill patternType="solid">
          <fgColor rgb="FFBFBFBF"/>
          <bgColor rgb="FFBFBFBF"/>
        </patternFill>
      </fill>
    </dxf>
    <dxf>
      <font>
        <color theme="1"/>
      </font>
      <fill>
        <patternFill patternType="solid">
          <fgColor rgb="FF7F7F7F"/>
          <bgColor rgb="FF7F7F7F"/>
        </patternFill>
      </fill>
    </dxf>
  </dxfs>
  <tableStyles count="0" defaultTableStyle="TableStyleMedium2" defaultPivotStyle="PivotStyleLight16"/>
  <colors>
    <mruColors>
      <color rgb="FFFF4F4F"/>
      <color rgb="FFFFFF85"/>
      <color rgb="FFE2CF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..\UBIGEO\BUG\INC-EACS-001.png" TargetMode="External"/><Relationship Id="rId1" Type="http://schemas.openxmlformats.org/officeDocument/2006/relationships/hyperlink" Target="..\UBIGEO\BUG\INC-EACS-00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B2:AA44"/>
  <sheetViews>
    <sheetView showGridLines="0" topLeftCell="A10" zoomScale="85" zoomScaleNormal="85" workbookViewId="0">
      <selection activeCell="E18" sqref="E18"/>
    </sheetView>
  </sheetViews>
  <sheetFormatPr baseColWidth="10" defaultColWidth="23.125" defaultRowHeight="14.25" x14ac:dyDescent="0.2"/>
  <cols>
    <col min="1" max="1" width="8.875" customWidth="1"/>
    <col min="2" max="2" width="21.125" customWidth="1"/>
    <col min="3" max="3" width="43" customWidth="1"/>
    <col min="4" max="4" width="17.875" customWidth="1"/>
    <col min="5" max="5" width="39.5" customWidth="1"/>
    <col min="6" max="6" width="12.125" customWidth="1"/>
    <col min="7" max="7" width="17.625" bestFit="1" customWidth="1"/>
    <col min="8" max="8" width="13.75" bestFit="1" customWidth="1"/>
  </cols>
  <sheetData>
    <row r="2" spans="2:27" ht="15" x14ac:dyDescent="0.25">
      <c r="B2" s="1"/>
      <c r="C2" s="181" t="s">
        <v>0</v>
      </c>
      <c r="D2" s="182"/>
      <c r="E2" s="182"/>
      <c r="F2" s="5" t="s">
        <v>184</v>
      </c>
      <c r="G2" s="6"/>
      <c r="H2" s="7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2:27" ht="15" x14ac:dyDescent="0.25">
      <c r="B3" s="1"/>
      <c r="C3" s="3"/>
      <c r="D3" s="3"/>
      <c r="E3" s="3"/>
      <c r="F3" s="9"/>
      <c r="G3" s="9"/>
      <c r="H3" s="7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2:27" ht="37.5" customHeight="1" x14ac:dyDescent="0.2">
      <c r="B4" s="62" t="s">
        <v>140</v>
      </c>
      <c r="C4" s="144" t="s">
        <v>1</v>
      </c>
      <c r="D4" s="144" t="s">
        <v>2</v>
      </c>
      <c r="E4" s="144" t="s">
        <v>3</v>
      </c>
      <c r="F4" s="144" t="s">
        <v>4</v>
      </c>
      <c r="G4" s="144" t="s">
        <v>4</v>
      </c>
      <c r="H4" s="7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2:27" ht="15.75" customHeight="1" x14ac:dyDescent="0.2">
      <c r="B5" s="10" t="s">
        <v>5</v>
      </c>
      <c r="C5" s="11" t="s">
        <v>146</v>
      </c>
      <c r="D5" s="12">
        <v>46281</v>
      </c>
      <c r="E5" s="12">
        <v>46281</v>
      </c>
      <c r="F5" s="55">
        <f>_xlfn.DAYS(E5,D5)+1</f>
        <v>1</v>
      </c>
      <c r="G5" s="183">
        <f>SUM(F5:F7)</f>
        <v>3</v>
      </c>
      <c r="H5" s="7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2:27" ht="15" x14ac:dyDescent="0.2">
      <c r="B6" s="10" t="s">
        <v>6</v>
      </c>
      <c r="C6" s="56" t="s">
        <v>147</v>
      </c>
      <c r="D6" s="12">
        <v>46282</v>
      </c>
      <c r="E6" s="12">
        <v>46282</v>
      </c>
      <c r="F6" s="55">
        <f t="shared" ref="F6:F11" si="0">_xlfn.DAYS(E6,D6)+1</f>
        <v>1</v>
      </c>
      <c r="G6" s="184"/>
      <c r="H6" s="7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2:27" ht="15" x14ac:dyDescent="0.2">
      <c r="B7" s="10" t="s">
        <v>7</v>
      </c>
      <c r="C7" s="57" t="s">
        <v>148</v>
      </c>
      <c r="D7" s="12">
        <v>46283</v>
      </c>
      <c r="E7" s="12">
        <v>46283</v>
      </c>
      <c r="F7" s="55">
        <f t="shared" si="0"/>
        <v>1</v>
      </c>
      <c r="G7" s="185"/>
      <c r="H7" s="7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2:27" ht="15" x14ac:dyDescent="0.2">
      <c r="B8" s="10" t="s">
        <v>8</v>
      </c>
      <c r="C8" s="57" t="s">
        <v>149</v>
      </c>
      <c r="D8" s="12">
        <v>46284</v>
      </c>
      <c r="E8" s="12">
        <v>46284</v>
      </c>
      <c r="F8" s="55">
        <f t="shared" si="0"/>
        <v>1</v>
      </c>
      <c r="G8" s="186">
        <f>SUM(F8:F11)</f>
        <v>4</v>
      </c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2:27" ht="15" x14ac:dyDescent="0.25">
      <c r="B9" s="14" t="s">
        <v>9</v>
      </c>
      <c r="C9" s="57" t="s">
        <v>66</v>
      </c>
      <c r="D9" s="12">
        <v>46285</v>
      </c>
      <c r="E9" s="12">
        <v>46285</v>
      </c>
      <c r="F9" s="55">
        <f>_xlfn.DAYS(E9,D9)+1</f>
        <v>1</v>
      </c>
      <c r="G9" s="184"/>
      <c r="H9" s="7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2:27" ht="15" x14ac:dyDescent="0.25">
      <c r="B10" s="14" t="s">
        <v>10</v>
      </c>
      <c r="C10" s="58" t="s">
        <v>150</v>
      </c>
      <c r="D10" s="12">
        <v>46286</v>
      </c>
      <c r="E10" s="12">
        <v>46286</v>
      </c>
      <c r="F10" s="55">
        <f t="shared" si="0"/>
        <v>1</v>
      </c>
      <c r="G10" s="184"/>
      <c r="H10" s="7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2:27" ht="15" x14ac:dyDescent="0.25">
      <c r="B11" s="14" t="s">
        <v>11</v>
      </c>
      <c r="C11" s="58" t="s">
        <v>151</v>
      </c>
      <c r="D11" s="12">
        <v>46287</v>
      </c>
      <c r="E11" s="12">
        <v>46287</v>
      </c>
      <c r="F11" s="55">
        <f t="shared" si="0"/>
        <v>1</v>
      </c>
      <c r="G11" s="184"/>
      <c r="H11" s="7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2:27" ht="15" x14ac:dyDescent="0.25">
      <c r="B12" s="15"/>
      <c r="C12" s="15"/>
      <c r="D12" s="17"/>
      <c r="E12" s="7"/>
      <c r="F12" s="61">
        <f>SUM(F5:F11)</f>
        <v>7</v>
      </c>
      <c r="G12" s="10">
        <f>SUM(G8,G5)</f>
        <v>7</v>
      </c>
      <c r="H12" s="7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2:27" x14ac:dyDescent="0.2">
      <c r="B13" s="7"/>
      <c r="C13" s="7"/>
      <c r="D13" s="7"/>
      <c r="E13" s="7"/>
      <c r="F13" s="7"/>
      <c r="G13" s="7"/>
      <c r="H13" s="7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2:27" ht="15" x14ac:dyDescent="0.2">
      <c r="B14" s="187" t="s">
        <v>14</v>
      </c>
      <c r="C14" s="187" t="s">
        <v>16</v>
      </c>
      <c r="D14" s="187" t="s">
        <v>17</v>
      </c>
      <c r="E14" s="189" t="s">
        <v>18</v>
      </c>
      <c r="F14" s="190" t="s">
        <v>18</v>
      </c>
      <c r="G14" s="191"/>
      <c r="H14" s="191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2:27" ht="15" x14ac:dyDescent="0.2">
      <c r="B15" s="188"/>
      <c r="C15" s="188"/>
      <c r="D15" s="188"/>
      <c r="E15" s="188"/>
      <c r="F15" s="175" t="s">
        <v>22</v>
      </c>
      <c r="G15" s="175" t="s">
        <v>25</v>
      </c>
      <c r="H15" s="175" t="s">
        <v>15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2:27" ht="15" x14ac:dyDescent="0.2">
      <c r="B16" s="192" t="s">
        <v>29</v>
      </c>
      <c r="C16" s="169" t="s">
        <v>160</v>
      </c>
      <c r="D16" s="170" t="s">
        <v>161</v>
      </c>
      <c r="E16" s="173" t="s">
        <v>173</v>
      </c>
      <c r="F16" s="10" t="s">
        <v>8</v>
      </c>
      <c r="G16" s="143" t="s">
        <v>39</v>
      </c>
      <c r="H16" s="86" t="s">
        <v>46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2:27" ht="42.75" x14ac:dyDescent="0.2">
      <c r="B17" s="193"/>
      <c r="C17" s="169" t="s">
        <v>160</v>
      </c>
      <c r="D17" s="170" t="s">
        <v>162</v>
      </c>
      <c r="E17" s="173" t="s">
        <v>175</v>
      </c>
      <c r="F17" s="10" t="s">
        <v>8</v>
      </c>
      <c r="G17" s="143" t="s">
        <v>39</v>
      </c>
      <c r="H17" s="86" t="s">
        <v>46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2:27" ht="42.75" x14ac:dyDescent="0.2">
      <c r="B18" s="193"/>
      <c r="C18" s="169" t="s">
        <v>160</v>
      </c>
      <c r="D18" s="170" t="s">
        <v>163</v>
      </c>
      <c r="E18" s="174" t="s">
        <v>176</v>
      </c>
      <c r="F18" s="10" t="s">
        <v>8</v>
      </c>
      <c r="G18" s="143" t="s">
        <v>39</v>
      </c>
      <c r="H18" s="86" t="s">
        <v>46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2:27" ht="57" x14ac:dyDescent="0.2">
      <c r="B19" s="193"/>
      <c r="C19" s="169" t="s">
        <v>160</v>
      </c>
      <c r="D19" s="170" t="s">
        <v>45</v>
      </c>
      <c r="E19" s="173" t="s">
        <v>177</v>
      </c>
      <c r="F19" s="10" t="s">
        <v>8</v>
      </c>
      <c r="G19" s="143" t="s">
        <v>39</v>
      </c>
      <c r="H19" s="86" t="s">
        <v>46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2:27" ht="42.75" x14ac:dyDescent="0.2">
      <c r="B20" s="193"/>
      <c r="C20" s="169" t="s">
        <v>164</v>
      </c>
      <c r="D20" s="170" t="s">
        <v>47</v>
      </c>
      <c r="E20" s="173" t="s">
        <v>174</v>
      </c>
      <c r="F20" s="10" t="s">
        <v>8</v>
      </c>
      <c r="G20" s="143" t="s">
        <v>39</v>
      </c>
      <c r="H20" s="86" t="s">
        <v>46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2:27" ht="28.5" x14ac:dyDescent="0.2">
      <c r="B21" s="193"/>
      <c r="C21" s="169" t="s">
        <v>164</v>
      </c>
      <c r="D21" s="170" t="s">
        <v>50</v>
      </c>
      <c r="E21" s="173" t="s">
        <v>178</v>
      </c>
      <c r="F21" s="10" t="s">
        <v>8</v>
      </c>
      <c r="G21" s="143" t="s">
        <v>39</v>
      </c>
      <c r="H21" s="86" t="s">
        <v>46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2:27" ht="28.5" x14ac:dyDescent="0.2">
      <c r="B22" s="193"/>
      <c r="C22" s="169" t="s">
        <v>164</v>
      </c>
      <c r="D22" s="170" t="s">
        <v>52</v>
      </c>
      <c r="E22" s="173" t="s">
        <v>179</v>
      </c>
      <c r="F22" s="10" t="s">
        <v>8</v>
      </c>
      <c r="G22" s="143" t="s">
        <v>39</v>
      </c>
      <c r="H22" s="86" t="s">
        <v>46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2:27" ht="42.75" x14ac:dyDescent="0.2">
      <c r="B23" s="193"/>
      <c r="C23" s="169" t="s">
        <v>165</v>
      </c>
      <c r="D23" s="170" t="s">
        <v>166</v>
      </c>
      <c r="E23" s="173" t="s">
        <v>180</v>
      </c>
      <c r="F23" s="10" t="s">
        <v>8</v>
      </c>
      <c r="G23" s="143" t="s">
        <v>39</v>
      </c>
      <c r="H23" s="86" t="s">
        <v>46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2:27" ht="28.5" x14ac:dyDescent="0.2">
      <c r="B24" s="193"/>
      <c r="C24" s="169" t="s">
        <v>165</v>
      </c>
      <c r="D24" s="170" t="s">
        <v>53</v>
      </c>
      <c r="E24" s="173" t="s">
        <v>181</v>
      </c>
      <c r="F24" s="10" t="s">
        <v>8</v>
      </c>
      <c r="G24" s="143" t="s">
        <v>39</v>
      </c>
      <c r="H24" s="86" t="s">
        <v>46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2:27" ht="15" x14ac:dyDescent="0.2">
      <c r="B25" s="193"/>
      <c r="C25" s="169" t="s">
        <v>165</v>
      </c>
      <c r="D25" s="170" t="s">
        <v>54</v>
      </c>
      <c r="E25" s="174" t="s">
        <v>182</v>
      </c>
      <c r="F25" s="10" t="s">
        <v>8</v>
      </c>
      <c r="G25" s="143" t="s">
        <v>39</v>
      </c>
      <c r="H25" s="86" t="s">
        <v>46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2:27" ht="15" x14ac:dyDescent="0.2">
      <c r="B26" s="193"/>
      <c r="C26" s="169" t="s">
        <v>165</v>
      </c>
      <c r="D26" s="170" t="s">
        <v>172</v>
      </c>
      <c r="E26" s="171" t="s">
        <v>183</v>
      </c>
      <c r="F26" s="10" t="s">
        <v>8</v>
      </c>
      <c r="G26" s="143" t="s">
        <v>39</v>
      </c>
      <c r="H26" s="86" t="s">
        <v>46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2:27" ht="42.75" x14ac:dyDescent="0.2">
      <c r="B27" s="192" t="s">
        <v>152</v>
      </c>
      <c r="C27" s="22" t="s">
        <v>57</v>
      </c>
      <c r="D27" s="23" t="s">
        <v>58</v>
      </c>
      <c r="E27" s="141" t="s">
        <v>131</v>
      </c>
      <c r="F27" s="59" t="s">
        <v>5</v>
      </c>
      <c r="G27" s="143" t="s">
        <v>39</v>
      </c>
      <c r="H27" s="86" t="s">
        <v>46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2:27" ht="15" x14ac:dyDescent="0.2">
      <c r="B28" s="193"/>
      <c r="C28" s="22" t="s">
        <v>57</v>
      </c>
      <c r="D28" s="60" t="s">
        <v>59</v>
      </c>
      <c r="E28" s="141" t="s">
        <v>141</v>
      </c>
      <c r="F28" s="10" t="s">
        <v>5</v>
      </c>
      <c r="G28" s="143" t="s">
        <v>39</v>
      </c>
      <c r="H28" s="86" t="s">
        <v>46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2:27" ht="42.75" x14ac:dyDescent="0.25">
      <c r="B29" s="193"/>
      <c r="C29" s="22" t="s">
        <v>57</v>
      </c>
      <c r="D29" s="23" t="s">
        <v>61</v>
      </c>
      <c r="E29" s="141" t="s">
        <v>134</v>
      </c>
      <c r="F29" s="14" t="s">
        <v>9</v>
      </c>
      <c r="G29" s="143" t="s">
        <v>39</v>
      </c>
      <c r="H29" s="86" t="s">
        <v>46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2:27" ht="85.5" x14ac:dyDescent="0.25">
      <c r="B30" s="193"/>
      <c r="C30" s="22" t="s">
        <v>57</v>
      </c>
      <c r="D30" s="60" t="s">
        <v>63</v>
      </c>
      <c r="E30" s="141" t="s">
        <v>135</v>
      </c>
      <c r="F30" s="14" t="s">
        <v>11</v>
      </c>
      <c r="G30" s="143" t="s">
        <v>39</v>
      </c>
      <c r="H30" s="86" t="s">
        <v>46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2:27" ht="15" x14ac:dyDescent="0.2">
      <c r="B31" s="193"/>
      <c r="C31" s="22" t="s">
        <v>60</v>
      </c>
      <c r="D31" s="23" t="s">
        <v>132</v>
      </c>
      <c r="E31" s="141" t="s">
        <v>133</v>
      </c>
      <c r="F31" s="10" t="s">
        <v>6</v>
      </c>
      <c r="G31" s="143" t="s">
        <v>39</v>
      </c>
      <c r="H31" s="86" t="s">
        <v>46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2:27" ht="42.75" x14ac:dyDescent="0.2">
      <c r="B32" s="194"/>
      <c r="C32" s="22" t="s">
        <v>62</v>
      </c>
      <c r="D32" s="60" t="s">
        <v>136</v>
      </c>
      <c r="E32" s="141" t="s">
        <v>64</v>
      </c>
      <c r="F32" s="10" t="s">
        <v>7</v>
      </c>
      <c r="G32" s="143" t="s">
        <v>39</v>
      </c>
      <c r="H32" s="86" t="s">
        <v>46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2:27" ht="15" x14ac:dyDescent="0.25">
      <c r="B33" s="192" t="s">
        <v>153</v>
      </c>
      <c r="C33" s="24" t="s">
        <v>66</v>
      </c>
      <c r="D33" s="25" t="s">
        <v>67</v>
      </c>
      <c r="E33" s="142" t="s">
        <v>68</v>
      </c>
      <c r="F33" s="14" t="s">
        <v>9</v>
      </c>
      <c r="G33" s="143" t="s">
        <v>39</v>
      </c>
      <c r="H33" s="86" t="s">
        <v>46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2:27" ht="15" x14ac:dyDescent="0.25">
      <c r="B34" s="194"/>
      <c r="C34" s="24" t="s">
        <v>69</v>
      </c>
      <c r="D34" s="25" t="s">
        <v>70</v>
      </c>
      <c r="E34" s="142" t="s">
        <v>71</v>
      </c>
      <c r="F34" s="14" t="s">
        <v>10</v>
      </c>
      <c r="G34" s="143" t="s">
        <v>39</v>
      </c>
      <c r="H34" s="86" t="s">
        <v>46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2:27" x14ac:dyDescent="0.2">
      <c r="B35" s="7"/>
      <c r="C35" s="7"/>
      <c r="D35" s="7"/>
      <c r="E35" s="7"/>
      <c r="F35" s="7"/>
      <c r="G35" s="7"/>
      <c r="H35" s="7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2:27" x14ac:dyDescent="0.2">
      <c r="B36" s="7"/>
      <c r="C36" s="7"/>
      <c r="D36" s="7"/>
      <c r="E36" s="7"/>
      <c r="F36" s="7"/>
      <c r="G36" s="7"/>
      <c r="H36" s="7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2:27" ht="15" x14ac:dyDescent="0.25">
      <c r="B37" s="26" t="s">
        <v>72</v>
      </c>
      <c r="C37" s="27"/>
      <c r="D37" s="26"/>
      <c r="E37" s="2"/>
      <c r="F37" s="4"/>
      <c r="G37" s="4"/>
      <c r="H37" s="7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2:27" x14ac:dyDescent="0.2">
      <c r="B38" s="28" t="s">
        <v>44</v>
      </c>
      <c r="C38" s="179" t="s">
        <v>73</v>
      </c>
      <c r="D38" s="180"/>
      <c r="E38" s="180"/>
      <c r="F38" s="180"/>
      <c r="G38" s="180"/>
      <c r="H38" s="180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2:27" x14ac:dyDescent="0.2">
      <c r="B39" s="29" t="s">
        <v>42</v>
      </c>
      <c r="C39" s="139" t="s">
        <v>74</v>
      </c>
      <c r="D39" s="140"/>
      <c r="E39" s="140"/>
      <c r="F39" s="140"/>
      <c r="G39" s="140"/>
      <c r="H39" s="138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2:27" x14ac:dyDescent="0.2">
      <c r="B40" s="30" t="s">
        <v>43</v>
      </c>
      <c r="C40" s="179" t="s">
        <v>75</v>
      </c>
      <c r="D40" s="180"/>
      <c r="E40" s="180"/>
      <c r="F40" s="180"/>
      <c r="G40" s="180"/>
      <c r="H40" s="180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2:27" x14ac:dyDescent="0.2">
      <c r="B41" s="31" t="s">
        <v>46</v>
      </c>
      <c r="C41" s="179" t="s">
        <v>76</v>
      </c>
      <c r="D41" s="180"/>
      <c r="E41" s="180"/>
      <c r="F41" s="180"/>
      <c r="G41" s="180"/>
      <c r="H41" s="180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2:27" x14ac:dyDescent="0.2">
      <c r="B42" s="32" t="s">
        <v>48</v>
      </c>
      <c r="C42" s="179" t="s">
        <v>77</v>
      </c>
      <c r="D42" s="180"/>
      <c r="E42" s="180"/>
      <c r="F42" s="180"/>
      <c r="G42" s="180"/>
      <c r="H42" s="180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2:27" x14ac:dyDescent="0.2">
      <c r="B43" s="33" t="s">
        <v>49</v>
      </c>
      <c r="C43" s="179" t="s">
        <v>78</v>
      </c>
      <c r="D43" s="180"/>
      <c r="E43" s="180"/>
      <c r="F43" s="180"/>
      <c r="G43" s="180"/>
      <c r="H43" s="180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2:27" ht="16.5" x14ac:dyDescent="0.3">
      <c r="B44" s="34"/>
      <c r="C44" s="34"/>
      <c r="D44" s="34"/>
      <c r="E44" s="34"/>
      <c r="F44" s="34"/>
      <c r="G44" s="34"/>
      <c r="H44" s="34"/>
    </row>
  </sheetData>
  <sheetProtection selectLockedCells="1" selectUnlockedCells="1"/>
  <mergeCells count="16">
    <mergeCell ref="B14:B15"/>
    <mergeCell ref="B16:B26"/>
    <mergeCell ref="B27:B32"/>
    <mergeCell ref="B33:B34"/>
    <mergeCell ref="C38:H38"/>
    <mergeCell ref="C41:H41"/>
    <mergeCell ref="C40:H40"/>
    <mergeCell ref="C42:H42"/>
    <mergeCell ref="C43:H43"/>
    <mergeCell ref="C2:E2"/>
    <mergeCell ref="G5:G7"/>
    <mergeCell ref="G8:G11"/>
    <mergeCell ref="C14:C15"/>
    <mergeCell ref="D14:D15"/>
    <mergeCell ref="E14:E15"/>
    <mergeCell ref="F14:H14"/>
  </mergeCells>
  <conditionalFormatting sqref="H16:H34">
    <cfRule type="cellIs" dxfId="29" priority="44" operator="equal">
      <formula>$B$44</formula>
    </cfRule>
    <cfRule type="cellIs" dxfId="28" priority="45" operator="equal">
      <formula>$B$43</formula>
    </cfRule>
    <cfRule type="cellIs" dxfId="27" priority="46" operator="equal">
      <formula>$B$42</formula>
    </cfRule>
    <cfRule type="cellIs" dxfId="26" priority="47" operator="equal">
      <formula>$B$40</formula>
    </cfRule>
    <cfRule type="cellIs" dxfId="25" priority="48" operator="equal">
      <formula>$B$41</formula>
    </cfRule>
    <cfRule type="cellIs" dxfId="24" priority="49" operator="equal">
      <formula>$B$39</formula>
    </cfRule>
    <cfRule type="cellIs" dxfId="23" priority="50" operator="equal">
      <formula>$B$38</formula>
    </cfRule>
  </conditionalFormatting>
  <dataValidations count="2">
    <dataValidation type="list" allowBlank="1" showErrorMessage="1" sqref="H16:H19 H32:H34 H25:H26 H21:H23 H28:H30" xr:uid="{BD34D124-6EED-4B78-9987-522450FD2789}">
      <formula1>$C$32:$C$37</formula1>
    </dataValidation>
    <dataValidation type="list" allowBlank="1" showErrorMessage="1" sqref="H31 H27 H24 H20" xr:uid="{DDE30F3E-DCAB-4296-93AF-2001BF0DA309}">
      <formula1>$B$38:$B$43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>
    <outlinePr summaryBelow="0" summaryRight="0"/>
  </sheetPr>
  <dimension ref="A1:Y38"/>
  <sheetViews>
    <sheetView showGridLines="0" tabSelected="1" topLeftCell="A16" zoomScale="85" zoomScaleNormal="85" workbookViewId="0">
      <selection activeCell="F20" sqref="F20"/>
    </sheetView>
  </sheetViews>
  <sheetFormatPr baseColWidth="10" defaultColWidth="12.625" defaultRowHeight="14.25" x14ac:dyDescent="0.2"/>
  <cols>
    <col min="1" max="1" width="2.25" style="63" customWidth="1"/>
    <col min="2" max="2" width="15.625" style="63" customWidth="1"/>
    <col min="3" max="3" width="38.375" style="63" customWidth="1"/>
    <col min="4" max="4" width="12.625" style="63" customWidth="1"/>
    <col min="5" max="5" width="13.75" style="63" bestFit="1" customWidth="1"/>
    <col min="6" max="6" width="51.125" style="63" customWidth="1"/>
    <col min="7" max="7" width="53.625" style="63" customWidth="1"/>
    <col min="8" max="8" width="11.75" style="63" bestFit="1" customWidth="1"/>
    <col min="9" max="13" width="11.5" style="63" customWidth="1"/>
    <col min="14" max="14" width="17.375" style="63" customWidth="1"/>
    <col min="15" max="15" width="12.375" style="63" bestFit="1" customWidth="1"/>
    <col min="16" max="16" width="12.625" style="63"/>
    <col min="17" max="17" width="21" style="63" customWidth="1"/>
    <col min="18" max="18" width="11.75" style="63" customWidth="1"/>
    <col min="19" max="19" width="18.5" style="63" customWidth="1"/>
    <col min="20" max="20" width="22.375" style="63" customWidth="1"/>
    <col min="21" max="21" width="19.75" style="63" customWidth="1"/>
    <col min="22" max="22" width="23.375" style="63" customWidth="1"/>
    <col min="23" max="23" width="20.875" style="63" customWidth="1"/>
    <col min="24" max="24" width="20.375" style="63" customWidth="1"/>
    <col min="25" max="25" width="11.75" style="63" bestFit="1" customWidth="1"/>
    <col min="26" max="16384" width="12.625" style="63"/>
  </cols>
  <sheetData>
    <row r="1" spans="1:25" ht="15" thickBot="1" x14ac:dyDescent="0.25">
      <c r="C1" s="64"/>
      <c r="H1" s="64"/>
      <c r="I1" s="64"/>
      <c r="J1" s="65"/>
      <c r="K1" s="64"/>
      <c r="L1" s="64"/>
      <c r="M1" s="64"/>
      <c r="N1" s="66"/>
    </row>
    <row r="2" spans="1:25" ht="15" thickBot="1" x14ac:dyDescent="0.25">
      <c r="B2" s="199" t="str">
        <f>CONCATENATE("Pruebas de Certificación del Sistema 
",TEXT('PLAN DE EJECUCION'!D5, "dd/mm/yyyy")," - ",TEXT('PLAN DE EJECUCION'!E11, "dd/mm/yyyy"))</f>
        <v>Pruebas de Certificación del Sistema 
16/09/2026 - 22/09/2026</v>
      </c>
      <c r="C2" s="200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1"/>
    </row>
    <row r="3" spans="1:25" ht="15.75" thickBot="1" x14ac:dyDescent="0.3">
      <c r="A3" s="67"/>
      <c r="B3" s="68"/>
      <c r="C3" s="69"/>
      <c r="D3" s="67"/>
      <c r="E3" s="67"/>
      <c r="F3" s="67"/>
      <c r="G3" s="67"/>
      <c r="H3" s="69"/>
      <c r="I3" s="69"/>
      <c r="J3" s="69"/>
      <c r="K3" s="69"/>
      <c r="L3" s="69"/>
      <c r="M3" s="69"/>
      <c r="N3" s="70"/>
      <c r="O3" s="67"/>
    </row>
    <row r="4" spans="1:25" ht="15" thickBot="1" x14ac:dyDescent="0.25">
      <c r="C4" s="64"/>
      <c r="F4" s="202" t="str">
        <f>CONCATENATE("Resumen de Incidencias de la Revisión Funcional y Técnicas - Sistema ",'PLAN DE EJECUCION'!$F$2)</f>
        <v>Resumen de Incidencias de la Revisión Funcional y Técnicas - Sistema Buscador Temático de Resoluciones del Tribunal Superior de Responsabilidades Administrativas (TSRA)</v>
      </c>
      <c r="G4" s="203"/>
      <c r="H4" s="203"/>
      <c r="I4" s="203"/>
      <c r="J4" s="203"/>
      <c r="K4" s="203"/>
      <c r="L4" s="203"/>
      <c r="M4" s="203"/>
      <c r="N4" s="203"/>
      <c r="O4" s="204"/>
      <c r="Q4" s="205" t="str">
        <f>CONCATENATE("Resumen de Avance de la Revisión Funcional y Técnicas - Sistema ",'PLAN DE EJECUCION'!$F$2)</f>
        <v>Resumen de Avance de la Revisión Funcional y Técnicas - Sistema Buscador Temático de Resoluciones del Tribunal Superior de Responsabilidades Administrativas (TSRA)</v>
      </c>
      <c r="R4" s="200"/>
      <c r="S4" s="200"/>
      <c r="T4" s="200"/>
      <c r="U4" s="200"/>
      <c r="V4" s="200"/>
      <c r="W4" s="200"/>
      <c r="X4" s="200"/>
      <c r="Y4" s="201"/>
    </row>
    <row r="5" spans="1:25" s="145" customFormat="1" ht="45.75" thickBot="1" x14ac:dyDescent="0.25">
      <c r="B5" s="71" t="s">
        <v>14</v>
      </c>
      <c r="C5" s="72" t="s">
        <v>16</v>
      </c>
      <c r="D5" s="71" t="s">
        <v>17</v>
      </c>
      <c r="E5" s="72" t="s">
        <v>20</v>
      </c>
      <c r="F5" s="71" t="s">
        <v>21</v>
      </c>
      <c r="G5" s="73" t="s">
        <v>23</v>
      </c>
      <c r="H5" s="73" t="s">
        <v>27</v>
      </c>
      <c r="I5" s="146" t="s">
        <v>31</v>
      </c>
      <c r="J5" s="147" t="s">
        <v>32</v>
      </c>
      <c r="K5" s="148" t="s">
        <v>34</v>
      </c>
      <c r="L5" s="149" t="s">
        <v>37</v>
      </c>
      <c r="M5" s="150" t="s">
        <v>38</v>
      </c>
      <c r="N5" s="71" t="s">
        <v>40</v>
      </c>
      <c r="O5" s="73" t="s">
        <v>120</v>
      </c>
      <c r="Q5" s="71" t="s">
        <v>40</v>
      </c>
      <c r="R5" s="72" t="s">
        <v>41</v>
      </c>
      <c r="S5" s="118" t="s">
        <v>42</v>
      </c>
      <c r="T5" s="119" t="s">
        <v>43</v>
      </c>
      <c r="U5" s="120" t="s">
        <v>44</v>
      </c>
      <c r="V5" s="121" t="s">
        <v>46</v>
      </c>
      <c r="W5" s="122" t="s">
        <v>48</v>
      </c>
      <c r="X5" s="123" t="s">
        <v>49</v>
      </c>
      <c r="Y5" s="132" t="s">
        <v>51</v>
      </c>
    </row>
    <row r="6" spans="1:25" ht="15.75" thickBot="1" x14ac:dyDescent="0.25">
      <c r="B6" s="192" t="s">
        <v>29</v>
      </c>
      <c r="C6" s="79" t="str">
        <f>'PLAN DE EJECUCION'!$C16</f>
        <v>Búsqueda y Filtros</v>
      </c>
      <c r="D6" s="80" t="str">
        <f>'PLAN DE EJECUCION'!$D16</f>
        <v>CASO 01</v>
      </c>
      <c r="E6" s="81" t="s">
        <v>55</v>
      </c>
      <c r="F6" s="82" t="str">
        <f>'PLAN DE EJECUCION'!$E16</f>
        <v>Buscar resoluciones por texto libre.</v>
      </c>
      <c r="G6" s="172" t="s">
        <v>167</v>
      </c>
      <c r="H6" s="83">
        <f t="shared" ref="H6:H24" si="0">SUM(I6,J6,L6,M6)</f>
        <v>0</v>
      </c>
      <c r="I6" s="84">
        <f t="array" ref="I6">SUMPRODUCT(COUNTIFS('CONSOLIDADO DE INCIDENCIAS'!$M$2:$M$6, 'AVANCE EJECUCIÓN '!$D6, 'CONSOLIDADO DE INCIDENCIAS'!$D$2:$D$6, 'CONSOLIDADO DE INCIDENCIAS'!$B$14:$B$15))</f>
        <v>0</v>
      </c>
      <c r="J6" s="84">
        <f t="array" ref="J6">SUMPRODUCT(COUNTIFS('CONSOLIDADO DE INCIDENCIAS'!$M$2:$M$6, 'AVANCE EJECUCIÓN '!$D6, 'CONSOLIDADO DE INCIDENCIAS'!$D$2:$D$6, 'CONSOLIDADO DE INCIDENCIAS'!$B$11:$B$13))</f>
        <v>0</v>
      </c>
      <c r="K6" s="84">
        <f t="array" ref="K6">SUMPRODUCT(COUNTIFS('CONSOLIDADO DE INCIDENCIAS'!$M$2:$M$6, 'AVANCE EJECUCIÓN '!$D6, 'CONSOLIDADO DE INCIDENCIAS'!$W$2:$W$6, 'CONSOLIDADO DE INCIDENCIAS'!$B$11:$B$13))</f>
        <v>0</v>
      </c>
      <c r="L6" s="84">
        <f>COUNTIFS('CONSOLIDADO DE INCIDENCIAS'!$M$2:$M$6,'AVANCE EJECUCIÓN '!$D6,'CONSOLIDADO DE INCIDENCIAS'!$D$2:$D$6,'CONSOLIDADO DE INCIDENCIAS'!$B$16)</f>
        <v>0</v>
      </c>
      <c r="M6" s="84">
        <f>COUNTIFS('CONSOLIDADO DE INCIDENCIAS'!$M$2:$M$6,'AVANCE EJECUCIÓN '!$D6,'CONSOLIDADO DE INCIDENCIAS'!$D$2:$D$6,'CONSOLIDADO DE INCIDENCIAS'!$B$17)</f>
        <v>0</v>
      </c>
      <c r="N6" s="85" t="s">
        <v>39</v>
      </c>
      <c r="O6" s="86" t="s">
        <v>46</v>
      </c>
      <c r="Q6" s="87" t="s">
        <v>39</v>
      </c>
      <c r="R6" s="88">
        <f t="shared" ref="R6:R10" si="1">SUM(S6:X6)</f>
        <v>19</v>
      </c>
      <c r="S6" s="124">
        <f>COUNTIFS($N$6:$N$24,$Q6,$O$6:$O$24,$B$33)</f>
        <v>0</v>
      </c>
      <c r="T6" s="125">
        <f>COUNTIFS($N$6:$N$24,$Q6,$O$6:$O$24,$B$34)</f>
        <v>0</v>
      </c>
      <c r="U6" s="125">
        <f>COUNTIFS($N$6:$N$24,$Q6,$O$6:$O$24,$B$32)</f>
        <v>0</v>
      </c>
      <c r="V6" s="125">
        <f>COUNTIFS($N$6:$N$24,$Q6,$O$6:$O$24,$B$35)</f>
        <v>19</v>
      </c>
      <c r="W6" s="125">
        <f>COUNTIFS($N$6:$N$24,$Q6,$O$6:$O$24,$B$36)</f>
        <v>0</v>
      </c>
      <c r="X6" s="130">
        <f>COUNTIFS($N$6:$N$24,$Q6,$O$6:$O$24,$B$37)</f>
        <v>0</v>
      </c>
      <c r="Y6" s="129">
        <f>IFERROR(($X52+$W6+V6)/$R6, 0)</f>
        <v>1</v>
      </c>
    </row>
    <row r="7" spans="1:25" ht="29.25" thickBot="1" x14ac:dyDescent="0.25">
      <c r="B7" s="193"/>
      <c r="C7" s="79" t="str">
        <f>'PLAN DE EJECUCION'!$C17</f>
        <v>Búsqueda y Filtros</v>
      </c>
      <c r="D7" s="80" t="str">
        <f>'PLAN DE EJECUCION'!$D17</f>
        <v>CASO 02</v>
      </c>
      <c r="E7" s="81" t="s">
        <v>93</v>
      </c>
      <c r="F7" s="82" t="str">
        <f>'PLAN DE EJECUCION'!$E17</f>
        <v>Filtrar resoluciones por categoría, período, sala y/o entidad de forma individual o combinada.</v>
      </c>
      <c r="G7" s="172" t="s">
        <v>168</v>
      </c>
      <c r="H7" s="89">
        <f t="shared" si="0"/>
        <v>0</v>
      </c>
      <c r="I7" s="90">
        <f t="array" ref="I7">SUMPRODUCT(COUNTIFS('CONSOLIDADO DE INCIDENCIAS'!$M$2:$M$6, 'AVANCE EJECUCIÓN '!$D7, 'CONSOLIDADO DE INCIDENCIAS'!$D$2:$D$6, 'CONSOLIDADO DE INCIDENCIAS'!$B$14:$B$15))</f>
        <v>0</v>
      </c>
      <c r="J7" s="90">
        <f t="array" ref="J7">SUMPRODUCT(COUNTIFS('CONSOLIDADO DE INCIDENCIAS'!$M$2:$M$6, 'AVANCE EJECUCIÓN '!$D7, 'CONSOLIDADO DE INCIDENCIAS'!$D$2:$D$6, 'CONSOLIDADO DE INCIDENCIAS'!$B$11:$B$13))</f>
        <v>0</v>
      </c>
      <c r="K7" s="90">
        <f t="array" ref="K7">SUMPRODUCT(COUNTIFS('CONSOLIDADO DE INCIDENCIAS'!$M$2:$M$6, 'AVANCE EJECUCIÓN '!$D7, 'CONSOLIDADO DE INCIDENCIAS'!$W$2:$W$6, 'CONSOLIDADO DE INCIDENCIAS'!$B$11:$B$13))</f>
        <v>0</v>
      </c>
      <c r="L7" s="90">
        <f>COUNTIFS('CONSOLIDADO DE INCIDENCIAS'!$M$2:$M$6,'AVANCE EJECUCIÓN '!$D7,'CONSOLIDADO DE INCIDENCIAS'!$D$2:$D$6,'CONSOLIDADO DE INCIDENCIAS'!$B$16)</f>
        <v>0</v>
      </c>
      <c r="M7" s="90">
        <f>COUNTIFS('CONSOLIDADO DE INCIDENCIAS'!$M$2:$M$6,'AVANCE EJECUCIÓN '!$D7,'CONSOLIDADO DE INCIDENCIAS'!$D$2:$D$6,'CONSOLIDADO DE INCIDENCIAS'!$B$17)</f>
        <v>0</v>
      </c>
      <c r="N7" s="82" t="s">
        <v>39</v>
      </c>
      <c r="O7" s="86" t="s">
        <v>46</v>
      </c>
      <c r="Q7" s="91"/>
      <c r="R7" s="88">
        <f t="shared" si="1"/>
        <v>0</v>
      </c>
      <c r="S7" s="124">
        <f>COUNTIFS($N$6:$N$24,$Q7,$O$6:$O$24,$B$33)</f>
        <v>0</v>
      </c>
      <c r="T7" s="125">
        <f>COUNTIFS($N$6:$N$24,$Q7,$O$6:$O$24,$B$34)</f>
        <v>0</v>
      </c>
      <c r="U7" s="125">
        <f>COUNTIFS($N$6:$N$24,$Q7,$O$6:$O$24,$B$32)</f>
        <v>0</v>
      </c>
      <c r="V7" s="125">
        <f>COUNTIFS($N$6:$N$24,$Q7,$O$6:$O$24,$B$35)</f>
        <v>0</v>
      </c>
      <c r="W7" s="125">
        <f>COUNTIFS($N$6:$N$24,$Q7,$O$6:$O$24,$B$36)</f>
        <v>0</v>
      </c>
      <c r="X7" s="130">
        <f>COUNTIFS($N$6:$N$24,$Q7,$O$6:$O$24,$B$37)</f>
        <v>0</v>
      </c>
      <c r="Y7" s="129">
        <f t="shared" ref="Y7:Y11" si="2">IFERROR(($X7+$W7+V7)/$R7, 0)</f>
        <v>0</v>
      </c>
    </row>
    <row r="8" spans="1:25" ht="43.5" thickBot="1" x14ac:dyDescent="0.25">
      <c r="B8" s="193"/>
      <c r="C8" s="79" t="str">
        <f>'PLAN DE EJECUCION'!$C18</f>
        <v>Búsqueda y Filtros</v>
      </c>
      <c r="D8" s="80" t="str">
        <f>'PLAN DE EJECUCION'!$D18</f>
        <v>CASO 03</v>
      </c>
      <c r="E8" s="81" t="s">
        <v>98</v>
      </c>
      <c r="F8" s="82" t="str">
        <f>'PLAN DE EJECUCION'!$E18</f>
        <v>Realizar búsqueda avanzada de resoluciones mediante la selección jerárquica de categoría, subcategoría e índice temático.</v>
      </c>
      <c r="G8" s="172" t="s">
        <v>169</v>
      </c>
      <c r="H8" s="89">
        <f t="shared" si="0"/>
        <v>3</v>
      </c>
      <c r="I8" s="90">
        <f t="array" ref="I8">SUMPRODUCT(COUNTIFS('CONSOLIDADO DE INCIDENCIAS'!$M$2:$M$6, 'AVANCE EJECUCIÓN '!$D8, 'CONSOLIDADO DE INCIDENCIAS'!$D$2:$D$6, 'CONSOLIDADO DE INCIDENCIAS'!$B$14:$B$15))</f>
        <v>0</v>
      </c>
      <c r="J8" s="90">
        <f t="array" ref="J8">SUMPRODUCT(COUNTIFS('CONSOLIDADO DE INCIDENCIAS'!$M$2:$M$6, 'AVANCE EJECUCIÓN '!$D8, 'CONSOLIDADO DE INCIDENCIAS'!$D$2:$D$6, 'CONSOLIDADO DE INCIDENCIAS'!$B$11:$B$13))</f>
        <v>3</v>
      </c>
      <c r="K8" s="90">
        <f t="array" ref="K8">SUMPRODUCT(COUNTIFS('CONSOLIDADO DE INCIDENCIAS'!$M$2:$M$6, 'AVANCE EJECUCIÓN '!$D8, 'CONSOLIDADO DE INCIDENCIAS'!$W$2:$W$6, 'CONSOLIDADO DE INCIDENCIAS'!$B$11:$B$13))</f>
        <v>3</v>
      </c>
      <c r="L8" s="90">
        <f>COUNTIFS('CONSOLIDADO DE INCIDENCIAS'!$M$2:$M$6,'AVANCE EJECUCIÓN '!$D8,'CONSOLIDADO DE INCIDENCIAS'!$D$2:$D$6,'CONSOLIDADO DE INCIDENCIAS'!$B$16)</f>
        <v>0</v>
      </c>
      <c r="M8" s="90">
        <f>COUNTIFS('CONSOLIDADO DE INCIDENCIAS'!$M$2:$M$6,'AVANCE EJECUCIÓN '!$D8,'CONSOLIDADO DE INCIDENCIAS'!$D$2:$D$6,'CONSOLIDADO DE INCIDENCIAS'!$B$17)</f>
        <v>0</v>
      </c>
      <c r="N8" s="82" t="s">
        <v>39</v>
      </c>
      <c r="O8" s="86" t="s">
        <v>46</v>
      </c>
      <c r="Q8" s="91"/>
      <c r="R8" s="88">
        <f t="shared" si="1"/>
        <v>0</v>
      </c>
      <c r="S8" s="124">
        <f>COUNTIFS($N$6:$N$24,$Q8,$O$6:$O$24,$B$33)</f>
        <v>0</v>
      </c>
      <c r="T8" s="125">
        <f>COUNTIFS($N$6:$N$24,$Q8,$O$6:$O$24,$B$34)</f>
        <v>0</v>
      </c>
      <c r="U8" s="125">
        <f>COUNTIFS($N$6:$N$24,$Q8,$O$6:$O$24,$B$32)</f>
        <v>0</v>
      </c>
      <c r="V8" s="125">
        <f>COUNTIFS($N$6:$N$24,$Q8,$O$6:$O$24,$B$35)</f>
        <v>0</v>
      </c>
      <c r="W8" s="125">
        <f>COUNTIFS($N$6:$N$24,$Q8,$O$6:$O$24,$B$36)</f>
        <v>0</v>
      </c>
      <c r="X8" s="130">
        <f>COUNTIFS($N$6:$N$24,$Q8,$O$6:$O$24,$B$37)</f>
        <v>0</v>
      </c>
      <c r="Y8" s="129">
        <f t="shared" si="2"/>
        <v>0</v>
      </c>
    </row>
    <row r="9" spans="1:25" ht="43.5" thickBot="1" x14ac:dyDescent="0.25">
      <c r="B9" s="193"/>
      <c r="C9" s="79" t="str">
        <f>'PLAN DE EJECUCION'!$C19</f>
        <v>Búsqueda y Filtros</v>
      </c>
      <c r="D9" s="80" t="str">
        <f>'PLAN DE EJECUCION'!$D19</f>
        <v>CASO 04</v>
      </c>
      <c r="E9" s="81" t="s">
        <v>99</v>
      </c>
      <c r="F9" s="82" t="str">
        <f>'PLAN DE EJECUCION'!$E19</f>
        <v>Consultar accesos directos de clasificador temático  (Sistemas Administrativos, Otros Sistemas, Infracciones, Potestad Sancionadora).</v>
      </c>
      <c r="G9" s="176" t="s">
        <v>170</v>
      </c>
      <c r="H9" s="89">
        <f t="shared" si="0"/>
        <v>0</v>
      </c>
      <c r="I9" s="90">
        <f t="array" ref="I9">SUMPRODUCT(COUNTIFS('CONSOLIDADO DE INCIDENCIAS'!$M$2:$M$6, 'AVANCE EJECUCIÓN '!$D9, 'CONSOLIDADO DE INCIDENCIAS'!$D$2:$D$6, 'CONSOLIDADO DE INCIDENCIAS'!$B$14:$B$15))</f>
        <v>0</v>
      </c>
      <c r="J9" s="90">
        <f t="array" ref="J9">SUMPRODUCT(COUNTIFS('CONSOLIDADO DE INCIDENCIAS'!$M$2:$M$6, 'AVANCE EJECUCIÓN '!$D9, 'CONSOLIDADO DE INCIDENCIAS'!$D$2:$D$6, 'CONSOLIDADO DE INCIDENCIAS'!$B$11:$B$13))</f>
        <v>0</v>
      </c>
      <c r="K9" s="90">
        <f t="array" ref="K9">SUMPRODUCT(COUNTIFS('CONSOLIDADO DE INCIDENCIAS'!$M$2:$M$6, 'AVANCE EJECUCIÓN '!$D9, 'CONSOLIDADO DE INCIDENCIAS'!$W$2:$W$6, 'CONSOLIDADO DE INCIDENCIAS'!$B$11:$B$13))</f>
        <v>0</v>
      </c>
      <c r="L9" s="90">
        <f>COUNTIFS('CONSOLIDADO DE INCIDENCIAS'!$M$2:$M$6,'AVANCE EJECUCIÓN '!$D9,'CONSOLIDADO DE INCIDENCIAS'!$D$2:$D$6,'CONSOLIDADO DE INCIDENCIAS'!$B$16)</f>
        <v>0</v>
      </c>
      <c r="M9" s="90">
        <f>COUNTIFS('CONSOLIDADO DE INCIDENCIAS'!$M$2:$M$6,'AVANCE EJECUCIÓN '!$D9,'CONSOLIDADO DE INCIDENCIAS'!$D$2:$D$6,'CONSOLIDADO DE INCIDENCIAS'!$B$17)</f>
        <v>0</v>
      </c>
      <c r="N9" s="82" t="s">
        <v>39</v>
      </c>
      <c r="O9" s="86" t="s">
        <v>46</v>
      </c>
      <c r="Q9" s="92"/>
      <c r="R9" s="88">
        <f t="shared" si="1"/>
        <v>0</v>
      </c>
      <c r="S9" s="124">
        <f>COUNTIFS($N$6:$N$24,$Q9,$O$6:$O$24,$B$33)</f>
        <v>0</v>
      </c>
      <c r="T9" s="125">
        <f>COUNTIFS($N$6:$N$24,$Q9,$O$6:$O$24,$B$34)</f>
        <v>0</v>
      </c>
      <c r="U9" s="125">
        <f>COUNTIFS($N$6:$N$24,$Q9,$O$6:$O$24,$B$32)</f>
        <v>0</v>
      </c>
      <c r="V9" s="125">
        <f>COUNTIFS($N$6:$N$24,$Q9,$O$6:$O$24,$B$35)</f>
        <v>0</v>
      </c>
      <c r="W9" s="125">
        <f>COUNTIFS($N$6:$N$24,$Q9,$O$6:$O$24,$B$36)</f>
        <v>0</v>
      </c>
      <c r="X9" s="130">
        <f>COUNTIFS($N$6:$N$24,$Q9,$O$6:$O$24,$B$37)</f>
        <v>0</v>
      </c>
      <c r="Y9" s="129">
        <f t="shared" si="2"/>
        <v>0</v>
      </c>
    </row>
    <row r="10" spans="1:25" ht="30.75" thickBot="1" x14ac:dyDescent="0.25">
      <c r="B10" s="193"/>
      <c r="C10" s="79" t="str">
        <f>'PLAN DE EJECUCION'!$C20</f>
        <v>Visualización de Resultados y Documentos</v>
      </c>
      <c r="D10" s="80" t="str">
        <f>'PLAN DE EJECUCION'!$D20</f>
        <v>CASO 05</v>
      </c>
      <c r="E10" s="81" t="s">
        <v>100</v>
      </c>
      <c r="F10" s="82" t="str">
        <f>'PLAN DE EJECUCION'!$E20</f>
        <v>Visualizar resultados de búsqueda y navegación numerada sobre el conjunto de resultados.</v>
      </c>
      <c r="G10" s="176" t="s">
        <v>185</v>
      </c>
      <c r="H10" s="83">
        <f t="shared" si="0"/>
        <v>2</v>
      </c>
      <c r="I10" s="84">
        <f t="array" ref="I10">SUMPRODUCT(COUNTIFS('CONSOLIDADO DE INCIDENCIAS'!$M$2:$M$6, 'AVANCE EJECUCIÓN '!$D10, 'CONSOLIDADO DE INCIDENCIAS'!$D$2:$D$6, 'CONSOLIDADO DE INCIDENCIAS'!$B$14:$B$15))</f>
        <v>0</v>
      </c>
      <c r="J10" s="84">
        <f t="array" ref="J10">SUMPRODUCT(COUNTIFS('CONSOLIDADO DE INCIDENCIAS'!$M$2:$M$6, 'AVANCE EJECUCIÓN '!$D10, 'CONSOLIDADO DE INCIDENCIAS'!$D$2:$D$6, 'CONSOLIDADO DE INCIDENCIAS'!$B$11:$B$13))</f>
        <v>2</v>
      </c>
      <c r="K10" s="84">
        <f t="array" ref="K10">SUMPRODUCT(COUNTIFS('CONSOLIDADO DE INCIDENCIAS'!$M$2:$M$6, 'AVANCE EJECUCIÓN '!$D10, 'CONSOLIDADO DE INCIDENCIAS'!$W$2:$W$6, 'CONSOLIDADO DE INCIDENCIAS'!$B$11:$B$13))</f>
        <v>2</v>
      </c>
      <c r="L10" s="84">
        <f>COUNTIFS('CONSOLIDADO DE INCIDENCIAS'!$M$2:$M$6,'AVANCE EJECUCIÓN '!$D10,'CONSOLIDADO DE INCIDENCIAS'!$D$2:$D$6,'CONSOLIDADO DE INCIDENCIAS'!$B$16)</f>
        <v>0</v>
      </c>
      <c r="M10" s="84">
        <f>COUNTIFS('CONSOLIDADO DE INCIDENCIAS'!$M$2:$M$6,'AVANCE EJECUCIÓN '!$D10,'CONSOLIDADO DE INCIDENCIAS'!$D$2:$D$6,'CONSOLIDADO DE INCIDENCIAS'!$B$17)</f>
        <v>0</v>
      </c>
      <c r="N10" s="85" t="s">
        <v>39</v>
      </c>
      <c r="O10" s="86" t="s">
        <v>46</v>
      </c>
      <c r="Q10" s="87"/>
      <c r="R10" s="88">
        <f t="shared" si="1"/>
        <v>0</v>
      </c>
      <c r="S10" s="126">
        <f>COUNTIFS($N$6:$N$24,$Q10,$O$6:$O$24,$B$33)</f>
        <v>0</v>
      </c>
      <c r="T10" s="127">
        <f>COUNTIFS($N$6:$N$24,$Q10,$O$6:$O$24,$B$34)</f>
        <v>0</v>
      </c>
      <c r="U10" s="127">
        <f>COUNTIFS($N$6:$N$24,$Q10,$O$6:$O$24,$B$32)</f>
        <v>0</v>
      </c>
      <c r="V10" s="127">
        <f>COUNTIFS($N$6:$N$24,$Q10,$O$6:$O$24,$B$35)</f>
        <v>0</v>
      </c>
      <c r="W10" s="127">
        <f>COUNTIFS($N$6:$N$24,$Q10,$O$6:$O$24,$B$36)</f>
        <v>0</v>
      </c>
      <c r="X10" s="131">
        <f>COUNTIFS($N$6:$N$24,$Q10,$O$6:$O$24,$B$37)</f>
        <v>0</v>
      </c>
      <c r="Y10" s="134">
        <f t="shared" si="2"/>
        <v>0</v>
      </c>
    </row>
    <row r="11" spans="1:25" ht="31.5" thickTop="1" thickBot="1" x14ac:dyDescent="0.25">
      <c r="B11" s="193"/>
      <c r="C11" s="79" t="str">
        <f>'PLAN DE EJECUCION'!$C21</f>
        <v>Visualización de Resultados y Documentos</v>
      </c>
      <c r="D11" s="80" t="str">
        <f>'PLAN DE EJECUCION'!$D21</f>
        <v>CASO 06</v>
      </c>
      <c r="E11" s="81" t="s">
        <v>101</v>
      </c>
      <c r="F11" s="82" t="str">
        <f>'PLAN DE EJECUCION'!$E21</f>
        <v>Visualizar archivo de la resolución en formato PDF.</v>
      </c>
      <c r="G11" s="176" t="s">
        <v>186</v>
      </c>
      <c r="H11" s="89">
        <f t="shared" si="0"/>
        <v>0</v>
      </c>
      <c r="I11" s="90">
        <f t="array" ref="I11">SUMPRODUCT(COUNTIFS('CONSOLIDADO DE INCIDENCIAS'!$M$2:$M$6, 'AVANCE EJECUCIÓN '!$D11, 'CONSOLIDADO DE INCIDENCIAS'!$D$2:$D$6, 'CONSOLIDADO DE INCIDENCIAS'!$B$14:$B$15))</f>
        <v>0</v>
      </c>
      <c r="J11" s="90">
        <f t="array" ref="J11">SUMPRODUCT(COUNTIFS('CONSOLIDADO DE INCIDENCIAS'!$M$2:$M$6, 'AVANCE EJECUCIÓN '!$D11, 'CONSOLIDADO DE INCIDENCIAS'!$D$2:$D$6, 'CONSOLIDADO DE INCIDENCIAS'!$B$11:$B$13))</f>
        <v>0</v>
      </c>
      <c r="K11" s="90">
        <f t="array" ref="K11">SUMPRODUCT(COUNTIFS('CONSOLIDADO DE INCIDENCIAS'!$M$2:$M$6, 'AVANCE EJECUCIÓN '!$D11, 'CONSOLIDADO DE INCIDENCIAS'!$W$2:$W$6, 'CONSOLIDADO DE INCIDENCIAS'!$B$11:$B$13))</f>
        <v>0</v>
      </c>
      <c r="L11" s="90">
        <f>COUNTIFS('CONSOLIDADO DE INCIDENCIAS'!$M$2:$M$6,'AVANCE EJECUCIÓN '!$D11,'CONSOLIDADO DE INCIDENCIAS'!$D$2:$D$6,'CONSOLIDADO DE INCIDENCIAS'!$B$16)</f>
        <v>0</v>
      </c>
      <c r="M11" s="90">
        <f>COUNTIFS('CONSOLIDADO DE INCIDENCIAS'!$M$2:$M$6,'AVANCE EJECUCIÓN '!$D11,'CONSOLIDADO DE INCIDENCIAS'!$D$2:$D$6,'CONSOLIDADO DE INCIDENCIAS'!$B$17)</f>
        <v>0</v>
      </c>
      <c r="N11" s="82" t="s">
        <v>39</v>
      </c>
      <c r="O11" s="86" t="s">
        <v>46</v>
      </c>
      <c r="Q11" s="71" t="s">
        <v>102</v>
      </c>
      <c r="R11" s="71">
        <f>SUM($R6:$R10)</f>
        <v>19</v>
      </c>
      <c r="S11" s="128">
        <f t="shared" ref="S11:X11" si="3">SUM(S6:S10)</f>
        <v>0</v>
      </c>
      <c r="T11" s="128">
        <f t="shared" si="3"/>
        <v>0</v>
      </c>
      <c r="U11" s="128">
        <f t="shared" si="3"/>
        <v>0</v>
      </c>
      <c r="V11" s="71">
        <f t="shared" si="3"/>
        <v>19</v>
      </c>
      <c r="W11" s="71">
        <f t="shared" si="3"/>
        <v>0</v>
      </c>
      <c r="X11" s="133">
        <f t="shared" si="3"/>
        <v>0</v>
      </c>
      <c r="Y11" s="135">
        <f t="shared" si="2"/>
        <v>1</v>
      </c>
    </row>
    <row r="12" spans="1:25" ht="30" x14ac:dyDescent="0.2">
      <c r="B12" s="193"/>
      <c r="C12" s="79" t="str">
        <f>'PLAN DE EJECUCION'!$C22</f>
        <v>Visualización de Resultados y Documentos</v>
      </c>
      <c r="D12" s="80" t="str">
        <f>'PLAN DE EJECUCION'!$D22</f>
        <v>CASO 07</v>
      </c>
      <c r="E12" s="81" t="s">
        <v>103</v>
      </c>
      <c r="F12" s="82" t="str">
        <f>'PLAN DE EJECUCION'!$E22</f>
        <v>Descargar archivo de la resolución en formato PDF.</v>
      </c>
      <c r="G12" s="172" t="s">
        <v>171</v>
      </c>
      <c r="H12" s="89">
        <f t="shared" si="0"/>
        <v>0</v>
      </c>
      <c r="I12" s="90">
        <f t="array" ref="I12">SUMPRODUCT(COUNTIFS('CONSOLIDADO DE INCIDENCIAS'!$M$2:$M$6, 'AVANCE EJECUCIÓN '!$D12, 'CONSOLIDADO DE INCIDENCIAS'!$D$2:$D$6, 'CONSOLIDADO DE INCIDENCIAS'!$B$14:$B$15))</f>
        <v>0</v>
      </c>
      <c r="J12" s="90">
        <f t="array" ref="J12">SUMPRODUCT(COUNTIFS('CONSOLIDADO DE INCIDENCIAS'!$M$2:$M$6, 'AVANCE EJECUCIÓN '!$D12, 'CONSOLIDADO DE INCIDENCIAS'!$D$2:$D$6, 'CONSOLIDADO DE INCIDENCIAS'!$B$11:$B$13))</f>
        <v>0</v>
      </c>
      <c r="K12" s="90">
        <f t="array" ref="K12">SUMPRODUCT(COUNTIFS('CONSOLIDADO DE INCIDENCIAS'!$M$2:$M$6, 'AVANCE EJECUCIÓN '!$D12, 'CONSOLIDADO DE INCIDENCIAS'!$W$2:$W$6, 'CONSOLIDADO DE INCIDENCIAS'!$B$11:$B$13))</f>
        <v>0</v>
      </c>
      <c r="L12" s="90">
        <f>COUNTIFS('CONSOLIDADO DE INCIDENCIAS'!$M$2:$M$6,'AVANCE EJECUCIÓN '!$D12,'CONSOLIDADO DE INCIDENCIAS'!$D$2:$D$6,'CONSOLIDADO DE INCIDENCIAS'!$B$16)</f>
        <v>0</v>
      </c>
      <c r="M12" s="90">
        <f>COUNTIFS('CONSOLIDADO DE INCIDENCIAS'!$M$2:$M$6,'AVANCE EJECUCIÓN '!$D12,'CONSOLIDADO DE INCIDENCIAS'!$D$2:$D$6,'CONSOLIDADO DE INCIDENCIAS'!$B$17)</f>
        <v>0</v>
      </c>
      <c r="N12" s="82" t="s">
        <v>39</v>
      </c>
      <c r="O12" s="86" t="s">
        <v>46</v>
      </c>
    </row>
    <row r="13" spans="1:25" ht="42.75" x14ac:dyDescent="0.2">
      <c r="B13" s="193"/>
      <c r="C13" s="79" t="str">
        <f>'PLAN DE EJECUCION'!$C23</f>
        <v>Panel e Información General</v>
      </c>
      <c r="D13" s="80" t="str">
        <f>'PLAN DE EJECUCION'!$D23</f>
        <v>CASO 08</v>
      </c>
      <c r="E13" s="81" t="s">
        <v>104</v>
      </c>
      <c r="F13" s="82" t="str">
        <f>'PLAN DE EJECUCION'!$E23</f>
        <v>Consultar gráficos de resoluciones por infracción,  de resoluciones por sistema administrativo y  de resoluciones por año.</v>
      </c>
      <c r="G13" s="176" t="s">
        <v>188</v>
      </c>
      <c r="H13" s="89">
        <f t="shared" si="0"/>
        <v>0</v>
      </c>
      <c r="I13" s="90">
        <f t="array" ref="I13">SUMPRODUCT(COUNTIFS('CONSOLIDADO DE INCIDENCIAS'!$M$2:$M$6, 'AVANCE EJECUCIÓN '!$D13, 'CONSOLIDADO DE INCIDENCIAS'!$D$2:$D$6, 'CONSOLIDADO DE INCIDENCIAS'!$B$14:$B$15))</f>
        <v>0</v>
      </c>
      <c r="J13" s="90">
        <f t="array" ref="J13">SUMPRODUCT(COUNTIFS('CONSOLIDADO DE INCIDENCIAS'!$M$2:$M$6, 'AVANCE EJECUCIÓN '!$D13, 'CONSOLIDADO DE INCIDENCIAS'!$D$2:$D$6, 'CONSOLIDADO DE INCIDENCIAS'!$B$11:$B$13))</f>
        <v>0</v>
      </c>
      <c r="K13" s="90">
        <f t="array" ref="K13">SUMPRODUCT(COUNTIFS('CONSOLIDADO DE INCIDENCIAS'!$M$2:$M$6, 'AVANCE EJECUCIÓN '!$D13, 'CONSOLIDADO DE INCIDENCIAS'!$W$2:$W$6, 'CONSOLIDADO DE INCIDENCIAS'!$B$11:$B$13))</f>
        <v>0</v>
      </c>
      <c r="L13" s="90">
        <f>COUNTIFS('CONSOLIDADO DE INCIDENCIAS'!$M$2:$M$6,'AVANCE EJECUCIÓN '!$D13,'CONSOLIDADO DE INCIDENCIAS'!$D$2:$D$6,'CONSOLIDADO DE INCIDENCIAS'!$B$16)</f>
        <v>0</v>
      </c>
      <c r="M13" s="90">
        <f>COUNTIFS('CONSOLIDADO DE INCIDENCIAS'!$M$2:$M$6,'AVANCE EJECUCIÓN '!$D13,'CONSOLIDADO DE INCIDENCIAS'!$D$2:$D$6,'CONSOLIDADO DE INCIDENCIAS'!$B$17)</f>
        <v>0</v>
      </c>
      <c r="N13" s="82" t="s">
        <v>39</v>
      </c>
      <c r="O13" s="86" t="s">
        <v>46</v>
      </c>
    </row>
    <row r="14" spans="1:25" ht="28.5" x14ac:dyDescent="0.2">
      <c r="B14" s="193"/>
      <c r="C14" s="79" t="str">
        <f>'PLAN DE EJECUCION'!$C24</f>
        <v>Panel e Información General</v>
      </c>
      <c r="D14" s="80" t="str">
        <f>'PLAN DE EJECUCION'!$D24</f>
        <v>CASO 09</v>
      </c>
      <c r="E14" s="81" t="s">
        <v>105</v>
      </c>
      <c r="F14" s="82" t="str">
        <f>'PLAN DE EJECUCION'!$E24</f>
        <v>Consultar  información de orientación para el uso del buscador.</v>
      </c>
      <c r="G14" s="176" t="s">
        <v>187</v>
      </c>
      <c r="H14" s="83">
        <f t="shared" si="0"/>
        <v>0</v>
      </c>
      <c r="I14" s="84">
        <f t="array" ref="I14">SUMPRODUCT(COUNTIFS('CONSOLIDADO DE INCIDENCIAS'!$M$2:$M$6, 'AVANCE EJECUCIÓN '!$D14, 'CONSOLIDADO DE INCIDENCIAS'!$D$2:$D$6, 'CONSOLIDADO DE INCIDENCIAS'!$B$14:$B$15))</f>
        <v>0</v>
      </c>
      <c r="J14" s="84">
        <f t="array" ref="J14">SUMPRODUCT(COUNTIFS('CONSOLIDADO DE INCIDENCIAS'!$M$2:$M$6, 'AVANCE EJECUCIÓN '!$D14, 'CONSOLIDADO DE INCIDENCIAS'!$D$2:$D$6, 'CONSOLIDADO DE INCIDENCIAS'!$B$11:$B$13))</f>
        <v>0</v>
      </c>
      <c r="K14" s="84">
        <f t="array" ref="K14">SUMPRODUCT(COUNTIFS('CONSOLIDADO DE INCIDENCIAS'!$M$2:$M$6, 'AVANCE EJECUCIÓN '!$D14, 'CONSOLIDADO DE INCIDENCIAS'!$W$2:$W$6, 'CONSOLIDADO DE INCIDENCIAS'!$B$11:$B$13))</f>
        <v>0</v>
      </c>
      <c r="L14" s="84">
        <f>COUNTIFS('CONSOLIDADO DE INCIDENCIAS'!$M$2:$M$6,'AVANCE EJECUCIÓN '!$D14,'CONSOLIDADO DE INCIDENCIAS'!$D$2:$D$6,'CONSOLIDADO DE INCIDENCIAS'!$B$16)</f>
        <v>0</v>
      </c>
      <c r="M14" s="84">
        <f>COUNTIFS('CONSOLIDADO DE INCIDENCIAS'!$M$2:$M$6,'AVANCE EJECUCIÓN '!$D14,'CONSOLIDADO DE INCIDENCIAS'!$D$2:$D$6,'CONSOLIDADO DE INCIDENCIAS'!$B$17)</f>
        <v>0</v>
      </c>
      <c r="N14" s="85" t="s">
        <v>39</v>
      </c>
      <c r="O14" s="86" t="s">
        <v>46</v>
      </c>
    </row>
    <row r="15" spans="1:25" ht="15" x14ac:dyDescent="0.2">
      <c r="B15" s="193"/>
      <c r="C15" s="79" t="str">
        <f>'PLAN DE EJECUCION'!$C25</f>
        <v>Panel e Información General</v>
      </c>
      <c r="D15" s="80" t="str">
        <f>'PLAN DE EJECUCION'!$D25</f>
        <v>CASO 10</v>
      </c>
      <c r="E15" s="81" t="s">
        <v>106</v>
      </c>
      <c r="F15" s="82" t="str">
        <f>'PLAN DE EJECUCION'!$E25</f>
        <v>Consultar texto del aviso legal del buscador.</v>
      </c>
      <c r="G15" s="176" t="s">
        <v>189</v>
      </c>
      <c r="H15" s="89">
        <f t="shared" si="0"/>
        <v>0</v>
      </c>
      <c r="I15" s="90">
        <f t="array" ref="I15">SUMPRODUCT(COUNTIFS('CONSOLIDADO DE INCIDENCIAS'!$M$2:$M$6, 'AVANCE EJECUCIÓN '!$D15, 'CONSOLIDADO DE INCIDENCIAS'!$D$2:$D$6, 'CONSOLIDADO DE INCIDENCIAS'!$B$14:$B$15))</f>
        <v>0</v>
      </c>
      <c r="J15" s="90">
        <f t="array" ref="J15">SUMPRODUCT(COUNTIFS('CONSOLIDADO DE INCIDENCIAS'!$M$2:$M$6, 'AVANCE EJECUCIÓN '!$D15, 'CONSOLIDADO DE INCIDENCIAS'!$D$2:$D$6, 'CONSOLIDADO DE INCIDENCIAS'!$B$11:$B$13))</f>
        <v>0</v>
      </c>
      <c r="K15" s="90">
        <f t="array" ref="K15">SUMPRODUCT(COUNTIFS('CONSOLIDADO DE INCIDENCIAS'!$M$2:$M$6, 'AVANCE EJECUCIÓN '!$D15, 'CONSOLIDADO DE INCIDENCIAS'!$W$2:$W$6, 'CONSOLIDADO DE INCIDENCIAS'!$B$11:$B$13))</f>
        <v>0</v>
      </c>
      <c r="L15" s="90">
        <f>COUNTIFS('CONSOLIDADO DE INCIDENCIAS'!$M$2:$M$6,'AVANCE EJECUCIÓN '!$D15,'CONSOLIDADO DE INCIDENCIAS'!$D$2:$D$6,'CONSOLIDADO DE INCIDENCIAS'!$B$16)</f>
        <v>0</v>
      </c>
      <c r="M15" s="90">
        <f>COUNTIFS('CONSOLIDADO DE INCIDENCIAS'!$M$2:$M$6,'AVANCE EJECUCIÓN '!$D15,'CONSOLIDADO DE INCIDENCIAS'!$D$2:$D$6,'CONSOLIDADO DE INCIDENCIAS'!$B$17)</f>
        <v>0</v>
      </c>
      <c r="N15" s="82" t="s">
        <v>39</v>
      </c>
      <c r="O15" s="86" t="s">
        <v>46</v>
      </c>
    </row>
    <row r="16" spans="1:25" ht="15" x14ac:dyDescent="0.2">
      <c r="B16" s="193"/>
      <c r="C16" s="79" t="str">
        <f>'PLAN DE EJECUCION'!$C26</f>
        <v>Panel e Información General</v>
      </c>
      <c r="D16" s="80" t="str">
        <f>'PLAN DE EJECUCION'!$D26</f>
        <v>CASO 11</v>
      </c>
      <c r="E16" s="81" t="s">
        <v>107</v>
      </c>
      <c r="F16" s="82" t="str">
        <f>'PLAN DE EJECUCION'!$E26</f>
        <v>Consultar enlaces del buscador.</v>
      </c>
      <c r="G16" s="176" t="s">
        <v>190</v>
      </c>
      <c r="H16" s="89">
        <f t="shared" si="0"/>
        <v>0</v>
      </c>
      <c r="I16" s="90">
        <f t="array" ref="I16">SUMPRODUCT(COUNTIFS('CONSOLIDADO DE INCIDENCIAS'!$M$2:$M$6, 'AVANCE EJECUCIÓN '!$D16, 'CONSOLIDADO DE INCIDENCIAS'!$D$2:$D$6, 'CONSOLIDADO DE INCIDENCIAS'!$B$14:$B$15))</f>
        <v>0</v>
      </c>
      <c r="J16" s="90">
        <f t="array" ref="J16">SUMPRODUCT(COUNTIFS('CONSOLIDADO DE INCIDENCIAS'!$M$2:$M$6, 'AVANCE EJECUCIÓN '!$D16, 'CONSOLIDADO DE INCIDENCIAS'!$D$2:$D$6, 'CONSOLIDADO DE INCIDENCIAS'!$B$11:$B$13))</f>
        <v>0</v>
      </c>
      <c r="K16" s="90">
        <f t="array" ref="K16">SUMPRODUCT(COUNTIFS('CONSOLIDADO DE INCIDENCIAS'!$M$2:$M$6, 'AVANCE EJECUCIÓN '!$D16, 'CONSOLIDADO DE INCIDENCIAS'!$W$2:$W$6, 'CONSOLIDADO DE INCIDENCIAS'!$B$11:$B$13))</f>
        <v>0</v>
      </c>
      <c r="L16" s="90">
        <f>COUNTIFS('CONSOLIDADO DE INCIDENCIAS'!$M$2:$M$6,'AVANCE EJECUCIÓN '!$D16,'CONSOLIDADO DE INCIDENCIAS'!$D$2:$D$6,'CONSOLIDADO DE INCIDENCIAS'!$B$16)</f>
        <v>0</v>
      </c>
      <c r="M16" s="90">
        <f>COUNTIFS('CONSOLIDADO DE INCIDENCIAS'!$M$2:$M$6,'AVANCE EJECUCIÓN '!$D16,'CONSOLIDADO DE INCIDENCIAS'!$D$2:$D$6,'CONSOLIDADO DE INCIDENCIAS'!$B$17)</f>
        <v>0</v>
      </c>
      <c r="N16" s="82" t="s">
        <v>39</v>
      </c>
      <c r="O16" s="86" t="s">
        <v>46</v>
      </c>
    </row>
    <row r="17" spans="1:15" ht="28.5" x14ac:dyDescent="0.2">
      <c r="A17" s="93"/>
      <c r="B17" s="192" t="s">
        <v>152</v>
      </c>
      <c r="C17" s="94" t="s">
        <v>57</v>
      </c>
      <c r="D17" s="95" t="s">
        <v>58</v>
      </c>
      <c r="E17" s="81" t="s">
        <v>108</v>
      </c>
      <c r="F17" s="96" t="s">
        <v>141</v>
      </c>
      <c r="G17" s="96" t="s">
        <v>139</v>
      </c>
      <c r="H17" s="89">
        <f t="shared" si="0"/>
        <v>0</v>
      </c>
      <c r="I17" s="90">
        <f t="array" ref="I17">SUMPRODUCT(COUNTIFS('CONSOLIDADO DE INCIDENCIAS'!$M$2:$M$6, 'AVANCE EJECUCIÓN '!$D17, 'CONSOLIDADO DE INCIDENCIAS'!$D$2:$D$6, 'CONSOLIDADO DE INCIDENCIAS'!$B$14:$B$15))</f>
        <v>0</v>
      </c>
      <c r="J17" s="90">
        <f t="array" ref="J17">SUMPRODUCT(COUNTIFS('CONSOLIDADO DE INCIDENCIAS'!$M$2:$M$6, 'AVANCE EJECUCIÓN '!$D17, 'CONSOLIDADO DE INCIDENCIAS'!$D$2:$D$6, 'CONSOLIDADO DE INCIDENCIAS'!$B$11:$B$13))</f>
        <v>0</v>
      </c>
      <c r="K17" s="90">
        <f t="array" ref="K17">SUMPRODUCT(COUNTIFS('CONSOLIDADO DE INCIDENCIAS'!$M$2:$M$6, 'AVANCE EJECUCIÓN '!$D17, 'CONSOLIDADO DE INCIDENCIAS'!$W$2:$W$6, 'CONSOLIDADO DE INCIDENCIAS'!$B$11:$B$13))</f>
        <v>0</v>
      </c>
      <c r="L17" s="90">
        <f>COUNTIFS('CONSOLIDADO DE INCIDENCIAS'!$M$2:$M$6,'AVANCE EJECUCIÓN '!$D17,'CONSOLIDADO DE INCIDENCIAS'!$D$2:$D$6,'CONSOLIDADO DE INCIDENCIAS'!$B$16)</f>
        <v>0</v>
      </c>
      <c r="M17" s="90">
        <f>COUNTIFS('CONSOLIDADO DE INCIDENCIAS'!$M$2:$M$6,'AVANCE EJECUCIÓN '!$D17,'CONSOLIDADO DE INCIDENCIAS'!$D$2:$D$6,'CONSOLIDADO DE INCIDENCIAS'!$B$17)</f>
        <v>0</v>
      </c>
      <c r="N17" s="82" t="s">
        <v>39</v>
      </c>
      <c r="O17" s="86" t="s">
        <v>46</v>
      </c>
    </row>
    <row r="18" spans="1:15" ht="28.5" x14ac:dyDescent="0.2">
      <c r="A18" s="93"/>
      <c r="B18" s="193"/>
      <c r="C18" s="94" t="s">
        <v>57</v>
      </c>
      <c r="D18" s="95" t="s">
        <v>59</v>
      </c>
      <c r="E18" s="81" t="s">
        <v>109</v>
      </c>
      <c r="F18" s="96" t="s">
        <v>131</v>
      </c>
      <c r="G18" s="96" t="s">
        <v>137</v>
      </c>
      <c r="H18" s="89">
        <f t="shared" ref="H18" si="4">SUM(I18,J18,L18,M18)</f>
        <v>0</v>
      </c>
      <c r="I18" s="90">
        <f t="array" ref="I18">SUMPRODUCT(COUNTIFS('CONSOLIDADO DE INCIDENCIAS'!$M$2:$M$6, 'AVANCE EJECUCIÓN '!$D18, 'CONSOLIDADO DE INCIDENCIAS'!$D$2:$D$6, 'CONSOLIDADO DE INCIDENCIAS'!$B$14:$B$15))</f>
        <v>0</v>
      </c>
      <c r="J18" s="90">
        <f t="array" ref="J18">SUMPRODUCT(COUNTIFS('CONSOLIDADO DE INCIDENCIAS'!$M$2:$M$6, 'AVANCE EJECUCIÓN '!$D18, 'CONSOLIDADO DE INCIDENCIAS'!$D$2:$D$6, 'CONSOLIDADO DE INCIDENCIAS'!$B$11:$B$13))</f>
        <v>0</v>
      </c>
      <c r="K18" s="90">
        <f t="array" ref="K18">SUMPRODUCT(COUNTIFS('CONSOLIDADO DE INCIDENCIAS'!$M$2:$M$6, 'AVANCE EJECUCIÓN '!$D18, 'CONSOLIDADO DE INCIDENCIAS'!$W$2:$W$6, 'CONSOLIDADO DE INCIDENCIAS'!$B$11:$B$13))</f>
        <v>0</v>
      </c>
      <c r="L18" s="90">
        <f>COUNTIFS('CONSOLIDADO DE INCIDENCIAS'!$M$2:$M$6,'AVANCE EJECUCIÓN '!$D18,'CONSOLIDADO DE INCIDENCIAS'!$D$2:$D$6,'CONSOLIDADO DE INCIDENCIAS'!$B$16)</f>
        <v>0</v>
      </c>
      <c r="M18" s="90">
        <f>COUNTIFS('CONSOLIDADO DE INCIDENCIAS'!$M$2:$M$6,'AVANCE EJECUCIÓN '!$D18,'CONSOLIDADO DE INCIDENCIAS'!$D$2:$D$6,'CONSOLIDADO DE INCIDENCIAS'!$B$17)</f>
        <v>0</v>
      </c>
      <c r="N18" s="82" t="s">
        <v>39</v>
      </c>
      <c r="O18" s="86" t="s">
        <v>46</v>
      </c>
    </row>
    <row r="19" spans="1:15" ht="28.5" x14ac:dyDescent="0.2">
      <c r="A19" s="93"/>
      <c r="B19" s="193"/>
      <c r="C19" s="94" t="s">
        <v>57</v>
      </c>
      <c r="D19" s="95" t="s">
        <v>61</v>
      </c>
      <c r="E19" s="81" t="s">
        <v>110</v>
      </c>
      <c r="F19" s="96" t="s">
        <v>134</v>
      </c>
      <c r="G19" s="96" t="s">
        <v>137</v>
      </c>
      <c r="H19" s="89">
        <f t="shared" si="0"/>
        <v>0</v>
      </c>
      <c r="I19" s="90">
        <f t="array" ref="I19">SUMPRODUCT(COUNTIFS('CONSOLIDADO DE INCIDENCIAS'!$M$2:$M$6, 'AVANCE EJECUCIÓN '!$D19, 'CONSOLIDADO DE INCIDENCIAS'!$D$2:$D$6, 'CONSOLIDADO DE INCIDENCIAS'!$B$14:$B$15))</f>
        <v>0</v>
      </c>
      <c r="J19" s="90">
        <f t="array" ref="J19">SUMPRODUCT(COUNTIFS('CONSOLIDADO DE INCIDENCIAS'!$M$2:$M$6, 'AVANCE EJECUCIÓN '!$D19, 'CONSOLIDADO DE INCIDENCIAS'!$D$2:$D$6, 'CONSOLIDADO DE INCIDENCIAS'!$B$11:$B$13))</f>
        <v>0</v>
      </c>
      <c r="K19" s="90">
        <f t="array" ref="K19">SUMPRODUCT(COUNTIFS('CONSOLIDADO DE INCIDENCIAS'!$M$2:$M$6, 'AVANCE EJECUCIÓN '!$D19, 'CONSOLIDADO DE INCIDENCIAS'!$W$2:$W$6, 'CONSOLIDADO DE INCIDENCIAS'!$B$11:$B$13))</f>
        <v>0</v>
      </c>
      <c r="L19" s="90">
        <f>COUNTIFS('CONSOLIDADO DE INCIDENCIAS'!$M$2:$M$6,'AVANCE EJECUCIÓN '!$D19,'CONSOLIDADO DE INCIDENCIAS'!$D$2:$D$6,'CONSOLIDADO DE INCIDENCIAS'!$B$16)</f>
        <v>0</v>
      </c>
      <c r="M19" s="90">
        <f>COUNTIFS('CONSOLIDADO DE INCIDENCIAS'!$M$2:$M$6,'AVANCE EJECUCIÓN '!$D19,'CONSOLIDADO DE INCIDENCIAS'!$D$2:$D$6,'CONSOLIDADO DE INCIDENCIAS'!$B$17)</f>
        <v>0</v>
      </c>
      <c r="N19" s="82" t="s">
        <v>39</v>
      </c>
      <c r="O19" s="86" t="s">
        <v>46</v>
      </c>
    </row>
    <row r="20" spans="1:15" ht="71.25" x14ac:dyDescent="0.2">
      <c r="A20" s="93"/>
      <c r="B20" s="193"/>
      <c r="C20" s="94" t="s">
        <v>57</v>
      </c>
      <c r="D20" s="95" t="s">
        <v>63</v>
      </c>
      <c r="E20" s="81" t="s">
        <v>111</v>
      </c>
      <c r="F20" s="96" t="s">
        <v>135</v>
      </c>
      <c r="G20" s="96" t="s">
        <v>137</v>
      </c>
      <c r="H20" s="89">
        <f t="shared" si="0"/>
        <v>0</v>
      </c>
      <c r="I20" s="90">
        <f t="array" ref="I20">SUMPRODUCT(COUNTIFS('CONSOLIDADO DE INCIDENCIAS'!$M$2:$M$6, 'AVANCE EJECUCIÓN '!$D20, 'CONSOLIDADO DE INCIDENCIAS'!$D$2:$D$6, 'CONSOLIDADO DE INCIDENCIAS'!$B$14:$B$15))</f>
        <v>0</v>
      </c>
      <c r="J20" s="90">
        <f t="array" ref="J20">SUMPRODUCT(COUNTIFS('CONSOLIDADO DE INCIDENCIAS'!$M$2:$M$6, 'AVANCE EJECUCIÓN '!$D20, 'CONSOLIDADO DE INCIDENCIAS'!$D$2:$D$6, 'CONSOLIDADO DE INCIDENCIAS'!$B$11:$B$13))</f>
        <v>0</v>
      </c>
      <c r="K20" s="90">
        <f t="array" ref="K20">SUMPRODUCT(COUNTIFS('CONSOLIDADO DE INCIDENCIAS'!$M$2:$M$6, 'AVANCE EJECUCIÓN '!$D20, 'CONSOLIDADO DE INCIDENCIAS'!$W$2:$W$6, 'CONSOLIDADO DE INCIDENCIAS'!$B$11:$B$13))</f>
        <v>0</v>
      </c>
      <c r="L20" s="90">
        <f>COUNTIFS('CONSOLIDADO DE INCIDENCIAS'!$M$2:$M$6,'AVANCE EJECUCIÓN '!$D20,'CONSOLIDADO DE INCIDENCIAS'!$D$2:$D$6,'CONSOLIDADO DE INCIDENCIAS'!$B$16)</f>
        <v>0</v>
      </c>
      <c r="M20" s="90">
        <f>COUNTIFS('CONSOLIDADO DE INCIDENCIAS'!$M$2:$M$6,'AVANCE EJECUCIÓN '!$D20,'CONSOLIDADO DE INCIDENCIAS'!$D$2:$D$6,'CONSOLIDADO DE INCIDENCIAS'!$B$17)</f>
        <v>0</v>
      </c>
      <c r="N20" s="82" t="s">
        <v>39</v>
      </c>
      <c r="O20" s="86" t="s">
        <v>46</v>
      </c>
    </row>
    <row r="21" spans="1:15" ht="15" x14ac:dyDescent="0.2">
      <c r="A21" s="93"/>
      <c r="B21" s="193"/>
      <c r="C21" s="94" t="s">
        <v>60</v>
      </c>
      <c r="D21" s="95" t="s">
        <v>132</v>
      </c>
      <c r="E21" s="81" t="s">
        <v>112</v>
      </c>
      <c r="F21" s="96" t="s">
        <v>133</v>
      </c>
      <c r="G21" s="96" t="s">
        <v>138</v>
      </c>
      <c r="H21" s="89">
        <f t="shared" ref="H21" si="5">SUM(I21,J21,L21,M21)</f>
        <v>0</v>
      </c>
      <c r="I21" s="90">
        <f t="array" ref="I21">SUMPRODUCT(COUNTIFS('CONSOLIDADO DE INCIDENCIAS'!$M$2:$M$6, 'AVANCE EJECUCIÓN '!$D21, 'CONSOLIDADO DE INCIDENCIAS'!$D$2:$D$6, 'CONSOLIDADO DE INCIDENCIAS'!$B$14:$B$15))</f>
        <v>0</v>
      </c>
      <c r="J21" s="90">
        <f t="array" ref="J21">SUMPRODUCT(COUNTIFS('CONSOLIDADO DE INCIDENCIAS'!$M$2:$M$6, 'AVANCE EJECUCIÓN '!$D21, 'CONSOLIDADO DE INCIDENCIAS'!$D$2:$D$6, 'CONSOLIDADO DE INCIDENCIAS'!$B$11:$B$13))</f>
        <v>0</v>
      </c>
      <c r="K21" s="90">
        <f t="array" ref="K21">SUMPRODUCT(COUNTIFS('CONSOLIDADO DE INCIDENCIAS'!$M$2:$M$6, 'AVANCE EJECUCIÓN '!$D21, 'CONSOLIDADO DE INCIDENCIAS'!$W$2:$W$6, 'CONSOLIDADO DE INCIDENCIAS'!$B$11:$B$13))</f>
        <v>0</v>
      </c>
      <c r="L21" s="90">
        <f>COUNTIFS('CONSOLIDADO DE INCIDENCIAS'!$M$2:$M$6,'AVANCE EJECUCIÓN '!$D21,'CONSOLIDADO DE INCIDENCIAS'!$D$2:$D$6,'CONSOLIDADO DE INCIDENCIAS'!$B$16)</f>
        <v>0</v>
      </c>
      <c r="M21" s="90">
        <f>COUNTIFS('CONSOLIDADO DE INCIDENCIAS'!$M$2:$M$6,'AVANCE EJECUCIÓN '!$D21,'CONSOLIDADO DE INCIDENCIAS'!$D$2:$D$6,'CONSOLIDADO DE INCIDENCIAS'!$B$17)</f>
        <v>0</v>
      </c>
      <c r="N21" s="82" t="s">
        <v>39</v>
      </c>
      <c r="O21" s="86" t="s">
        <v>46</v>
      </c>
    </row>
    <row r="22" spans="1:15" ht="28.5" x14ac:dyDescent="0.2">
      <c r="A22" s="93"/>
      <c r="B22" s="194"/>
      <c r="C22" s="94" t="s">
        <v>62</v>
      </c>
      <c r="D22" s="95" t="s">
        <v>136</v>
      </c>
      <c r="E22" s="81" t="s">
        <v>113</v>
      </c>
      <c r="F22" s="96" t="s">
        <v>64</v>
      </c>
      <c r="G22" s="96" t="s">
        <v>116</v>
      </c>
      <c r="H22" s="89">
        <f t="shared" si="0"/>
        <v>0</v>
      </c>
      <c r="I22" s="90">
        <f t="array" ref="I22">SUMPRODUCT(COUNTIFS('CONSOLIDADO DE INCIDENCIAS'!$M$2:$M$6, 'AVANCE EJECUCIÓN '!$D22, 'CONSOLIDADO DE INCIDENCIAS'!$D$2:$D$6, 'CONSOLIDADO DE INCIDENCIAS'!$B$14:$B$15))</f>
        <v>0</v>
      </c>
      <c r="J22" s="90">
        <f t="array" ref="J22">SUMPRODUCT(COUNTIFS('CONSOLIDADO DE INCIDENCIAS'!$M$2:$M$6, 'AVANCE EJECUCIÓN '!$D22, 'CONSOLIDADO DE INCIDENCIAS'!$D$2:$D$6, 'CONSOLIDADO DE INCIDENCIAS'!$B$11:$B$13))</f>
        <v>0</v>
      </c>
      <c r="K22" s="90">
        <f t="array" ref="K22">SUMPRODUCT(COUNTIFS('CONSOLIDADO DE INCIDENCIAS'!$M$2:$M$6, 'AVANCE EJECUCIÓN '!$D22, 'CONSOLIDADO DE INCIDENCIAS'!$W$2:$W$6, 'CONSOLIDADO DE INCIDENCIAS'!$B$11:$B$13))</f>
        <v>0</v>
      </c>
      <c r="L22" s="90">
        <f>COUNTIFS('CONSOLIDADO DE INCIDENCIAS'!$M$2:$M$6,'AVANCE EJECUCIÓN '!$D22,'CONSOLIDADO DE INCIDENCIAS'!$D$2:$D$6,'CONSOLIDADO DE INCIDENCIAS'!$B$16)</f>
        <v>0</v>
      </c>
      <c r="M22" s="90">
        <f>COUNTIFS('CONSOLIDADO DE INCIDENCIAS'!$M$2:$M$6,'AVANCE EJECUCIÓN '!$D22,'CONSOLIDADO DE INCIDENCIAS'!$D$2:$D$6,'CONSOLIDADO DE INCIDENCIAS'!$B$17)</f>
        <v>0</v>
      </c>
      <c r="N22" s="82" t="s">
        <v>39</v>
      </c>
      <c r="O22" s="86" t="s">
        <v>46</v>
      </c>
    </row>
    <row r="23" spans="1:15" ht="28.5" x14ac:dyDescent="0.2">
      <c r="A23" s="93"/>
      <c r="B23" s="192" t="s">
        <v>153</v>
      </c>
      <c r="C23" s="97" t="s">
        <v>66</v>
      </c>
      <c r="D23" s="98" t="s">
        <v>67</v>
      </c>
      <c r="E23" s="81" t="s">
        <v>114</v>
      </c>
      <c r="F23" s="85" t="s">
        <v>68</v>
      </c>
      <c r="G23" s="85" t="s">
        <v>117</v>
      </c>
      <c r="H23" s="89">
        <f t="shared" si="0"/>
        <v>0</v>
      </c>
      <c r="I23" s="90">
        <f t="array" ref="I23">SUMPRODUCT(COUNTIFS('CONSOLIDADO DE INCIDENCIAS'!$M$2:$M$6, 'AVANCE EJECUCIÓN '!$D23, 'CONSOLIDADO DE INCIDENCIAS'!$D$2:$D$6, 'CONSOLIDADO DE INCIDENCIAS'!$B$14:$B$15))</f>
        <v>0</v>
      </c>
      <c r="J23" s="90">
        <f t="array" ref="J23">SUMPRODUCT(COUNTIFS('CONSOLIDADO DE INCIDENCIAS'!$M$2:$M$6, 'AVANCE EJECUCIÓN '!$D23, 'CONSOLIDADO DE INCIDENCIAS'!$D$2:$D$6, 'CONSOLIDADO DE INCIDENCIAS'!$B$11:$B$13))</f>
        <v>0</v>
      </c>
      <c r="K23" s="90">
        <f t="array" ref="K23">SUMPRODUCT(COUNTIFS('CONSOLIDADO DE INCIDENCIAS'!$M$2:$M$6, 'AVANCE EJECUCIÓN '!$D23, 'CONSOLIDADO DE INCIDENCIAS'!$W$2:$W$6, 'CONSOLIDADO DE INCIDENCIAS'!$B$11:$B$13))</f>
        <v>0</v>
      </c>
      <c r="L23" s="90">
        <f>COUNTIFS('CONSOLIDADO DE INCIDENCIAS'!$M$2:$M$6,'AVANCE EJECUCIÓN '!$D23,'CONSOLIDADO DE INCIDENCIAS'!$D$2:$D$6,'CONSOLIDADO DE INCIDENCIAS'!$B$16)</f>
        <v>0</v>
      </c>
      <c r="M23" s="90">
        <f>COUNTIFS('CONSOLIDADO DE INCIDENCIAS'!$M$2:$M$6,'AVANCE EJECUCIÓN '!$D23,'CONSOLIDADO DE INCIDENCIAS'!$D$2:$D$6,'CONSOLIDADO DE INCIDENCIAS'!$B$17)</f>
        <v>0</v>
      </c>
      <c r="N23" s="82" t="s">
        <v>39</v>
      </c>
      <c r="O23" s="86" t="s">
        <v>46</v>
      </c>
    </row>
    <row r="24" spans="1:15" ht="43.5" thickBot="1" x14ac:dyDescent="0.25">
      <c r="A24" s="93"/>
      <c r="B24" s="194"/>
      <c r="C24" s="97" t="s">
        <v>69</v>
      </c>
      <c r="D24" s="98" t="s">
        <v>70</v>
      </c>
      <c r="E24" s="81" t="s">
        <v>115</v>
      </c>
      <c r="F24" s="85" t="s">
        <v>71</v>
      </c>
      <c r="G24" s="85" t="s">
        <v>118</v>
      </c>
      <c r="H24" s="99">
        <f t="shared" si="0"/>
        <v>0</v>
      </c>
      <c r="I24" s="100">
        <f t="array" ref="I24">SUMPRODUCT(COUNTIFS('CONSOLIDADO DE INCIDENCIAS'!$M$2:$M$6, 'AVANCE EJECUCIÓN '!$D24, 'CONSOLIDADO DE INCIDENCIAS'!$D$2:$D$6, 'CONSOLIDADO DE INCIDENCIAS'!$B$14:$B$15))</f>
        <v>0</v>
      </c>
      <c r="J24" s="100">
        <f t="array" ref="J24">SUMPRODUCT(COUNTIFS('CONSOLIDADO DE INCIDENCIAS'!$M$2:$M$6, 'AVANCE EJECUCIÓN '!$D24, 'CONSOLIDADO DE INCIDENCIAS'!$D$2:$D$6, 'CONSOLIDADO DE INCIDENCIAS'!$B$11:$B$13))</f>
        <v>0</v>
      </c>
      <c r="K24" s="100">
        <f t="array" ref="K24">SUMPRODUCT(COUNTIFS('CONSOLIDADO DE INCIDENCIAS'!$M$2:$M$6, 'AVANCE EJECUCIÓN '!$D24, 'CONSOLIDADO DE INCIDENCIAS'!$W$2:$W$6, 'CONSOLIDADO DE INCIDENCIAS'!$B$11:$B$13))</f>
        <v>0</v>
      </c>
      <c r="L24" s="100">
        <f>COUNTIFS('CONSOLIDADO DE INCIDENCIAS'!$M$2:$M$6,'AVANCE EJECUCIÓN '!$D24,'CONSOLIDADO DE INCIDENCIAS'!$D$2:$D$6,'CONSOLIDADO DE INCIDENCIAS'!$B$16)</f>
        <v>0</v>
      </c>
      <c r="M24" s="100">
        <f>COUNTIFS('CONSOLIDADO DE INCIDENCIAS'!$M$2:$M$6,'AVANCE EJECUCIÓN '!$D24,'CONSOLIDADO DE INCIDENCIAS'!$D$2:$D$6,'CONSOLIDADO DE INCIDENCIAS'!$B$17)</f>
        <v>0</v>
      </c>
      <c r="N24" s="101" t="s">
        <v>39</v>
      </c>
      <c r="O24" s="86" t="s">
        <v>46</v>
      </c>
    </row>
    <row r="25" spans="1:15" ht="15.75" thickBot="1" x14ac:dyDescent="0.25">
      <c r="B25" s="102" t="s">
        <v>119</v>
      </c>
      <c r="C25" s="103"/>
      <c r="D25" s="104">
        <f>COUNTA(D6:D24)</f>
        <v>19</v>
      </c>
      <c r="E25" s="105"/>
      <c r="F25" s="106"/>
      <c r="G25" s="106"/>
      <c r="H25" s="107">
        <f t="shared" ref="H25:M25" si="6">SUM(H6:H22)</f>
        <v>5</v>
      </c>
      <c r="I25" s="74">
        <f t="shared" si="6"/>
        <v>0</v>
      </c>
      <c r="J25" s="75">
        <f t="shared" si="6"/>
        <v>5</v>
      </c>
      <c r="K25" s="76">
        <f t="shared" si="6"/>
        <v>5</v>
      </c>
      <c r="L25" s="77">
        <f t="shared" si="6"/>
        <v>0</v>
      </c>
      <c r="M25" s="78">
        <f t="shared" si="6"/>
        <v>0</v>
      </c>
      <c r="N25" s="91" t="s">
        <v>39</v>
      </c>
      <c r="O25" s="86" t="s">
        <v>46</v>
      </c>
    </row>
    <row r="26" spans="1:15" ht="15" x14ac:dyDescent="0.2">
      <c r="B26" s="108"/>
      <c r="C26" s="109"/>
      <c r="D26" s="105"/>
      <c r="E26" s="105"/>
      <c r="F26" s="106"/>
      <c r="G26" s="106"/>
      <c r="H26" s="64"/>
      <c r="I26" s="64"/>
      <c r="J26" s="65"/>
      <c r="K26" s="64"/>
      <c r="L26" s="64"/>
      <c r="M26" s="64"/>
      <c r="N26" s="66"/>
    </row>
    <row r="27" spans="1:15" ht="15" x14ac:dyDescent="0.2">
      <c r="B27" s="108"/>
      <c r="C27" s="109"/>
      <c r="D27" s="105"/>
      <c r="E27" s="105"/>
      <c r="F27" s="106"/>
      <c r="G27" s="106"/>
      <c r="H27" s="64"/>
      <c r="I27" s="64"/>
      <c r="J27" s="65"/>
      <c r="K27" s="64"/>
      <c r="L27" s="64"/>
      <c r="M27" s="64"/>
      <c r="N27" s="66"/>
    </row>
    <row r="28" spans="1:15" ht="15" x14ac:dyDescent="0.2">
      <c r="B28" s="108"/>
      <c r="C28" s="109"/>
      <c r="F28" s="197"/>
      <c r="G28" s="198"/>
      <c r="H28" s="198"/>
      <c r="I28" s="198"/>
      <c r="J28" s="198"/>
      <c r="K28" s="198"/>
      <c r="M28" s="64"/>
      <c r="N28" s="66"/>
    </row>
    <row r="29" spans="1:15" ht="15" x14ac:dyDescent="0.2">
      <c r="B29" s="108"/>
      <c r="C29" s="109"/>
      <c r="H29" s="64"/>
      <c r="I29" s="64"/>
      <c r="J29" s="65"/>
      <c r="K29" s="64"/>
      <c r="L29" s="64"/>
      <c r="M29" s="64"/>
      <c r="N29" s="66"/>
    </row>
    <row r="30" spans="1:15" x14ac:dyDescent="0.2">
      <c r="H30" s="64"/>
      <c r="I30" s="64"/>
      <c r="J30" s="65"/>
      <c r="K30" s="64"/>
      <c r="L30" s="64"/>
      <c r="M30" s="64"/>
      <c r="N30" s="66"/>
    </row>
    <row r="31" spans="1:15" ht="15" x14ac:dyDescent="0.25">
      <c r="B31" s="110" t="s">
        <v>72</v>
      </c>
      <c r="C31" s="111"/>
      <c r="H31" s="64"/>
      <c r="I31" s="64"/>
      <c r="J31" s="65"/>
      <c r="K31" s="64"/>
      <c r="L31" s="64"/>
      <c r="M31" s="64"/>
      <c r="N31" s="66"/>
    </row>
    <row r="32" spans="1:15" x14ac:dyDescent="0.2">
      <c r="B32" s="112" t="s">
        <v>44</v>
      </c>
      <c r="C32" s="195" t="s">
        <v>73</v>
      </c>
      <c r="D32" s="196"/>
      <c r="E32" s="196"/>
      <c r="F32" s="196"/>
      <c r="H32" s="64"/>
      <c r="I32" s="64"/>
      <c r="J32" s="65"/>
      <c r="K32" s="64"/>
      <c r="L32" s="64"/>
      <c r="M32" s="64"/>
      <c r="N32" s="66"/>
    </row>
    <row r="33" spans="2:14" x14ac:dyDescent="0.2">
      <c r="B33" s="113" t="s">
        <v>42</v>
      </c>
      <c r="C33" s="195" t="s">
        <v>74</v>
      </c>
      <c r="D33" s="196"/>
      <c r="E33" s="196"/>
      <c r="F33" s="196"/>
      <c r="H33" s="64"/>
      <c r="I33" s="64"/>
      <c r="J33" s="65"/>
      <c r="K33" s="64"/>
      <c r="L33" s="64"/>
      <c r="M33" s="64"/>
      <c r="N33" s="66"/>
    </row>
    <row r="34" spans="2:14" x14ac:dyDescent="0.2">
      <c r="B34" s="114" t="s">
        <v>43</v>
      </c>
      <c r="C34" s="195" t="s">
        <v>75</v>
      </c>
      <c r="D34" s="196"/>
      <c r="E34" s="196"/>
      <c r="F34" s="196"/>
      <c r="H34" s="64"/>
      <c r="I34" s="64"/>
      <c r="J34" s="65"/>
      <c r="K34" s="64"/>
      <c r="L34" s="64"/>
      <c r="M34" s="64"/>
      <c r="N34" s="66"/>
    </row>
    <row r="35" spans="2:14" x14ac:dyDescent="0.2">
      <c r="B35" s="115" t="s">
        <v>46</v>
      </c>
      <c r="C35" s="195" t="s">
        <v>76</v>
      </c>
      <c r="D35" s="196"/>
      <c r="E35" s="196"/>
      <c r="F35" s="196"/>
      <c r="H35" s="64"/>
      <c r="I35" s="64"/>
      <c r="J35" s="65"/>
      <c r="K35" s="64"/>
      <c r="L35" s="64"/>
      <c r="M35" s="64"/>
      <c r="N35" s="66"/>
    </row>
    <row r="36" spans="2:14" x14ac:dyDescent="0.2">
      <c r="B36" s="116" t="s">
        <v>48</v>
      </c>
      <c r="C36" s="195" t="s">
        <v>77</v>
      </c>
      <c r="D36" s="196"/>
      <c r="E36" s="196"/>
      <c r="F36" s="196"/>
      <c r="H36" s="64"/>
      <c r="I36" s="64"/>
      <c r="J36" s="65"/>
      <c r="K36" s="64"/>
      <c r="L36" s="64"/>
      <c r="M36" s="64"/>
      <c r="N36" s="66"/>
    </row>
    <row r="37" spans="2:14" x14ac:dyDescent="0.2">
      <c r="B37" s="117" t="s">
        <v>49</v>
      </c>
      <c r="C37" s="195" t="s">
        <v>78</v>
      </c>
      <c r="D37" s="196"/>
      <c r="E37" s="196"/>
      <c r="F37" s="196"/>
      <c r="H37" s="64"/>
      <c r="I37" s="64"/>
      <c r="J37" s="65"/>
      <c r="K37" s="64"/>
      <c r="L37" s="64"/>
      <c r="M37" s="64"/>
      <c r="N37" s="66"/>
    </row>
    <row r="38" spans="2:14" x14ac:dyDescent="0.2">
      <c r="C38" s="64"/>
      <c r="H38" s="64"/>
      <c r="I38" s="64"/>
      <c r="J38" s="65"/>
      <c r="K38" s="64"/>
      <c r="L38" s="64"/>
      <c r="M38" s="64"/>
      <c r="N38" s="66"/>
    </row>
  </sheetData>
  <sheetProtection selectLockedCells="1" selectUnlockedCells="1"/>
  <mergeCells count="13">
    <mergeCell ref="B23:B24"/>
    <mergeCell ref="F28:K28"/>
    <mergeCell ref="B2:O2"/>
    <mergeCell ref="F4:O4"/>
    <mergeCell ref="Q4:Y4"/>
    <mergeCell ref="B6:B16"/>
    <mergeCell ref="B17:B22"/>
    <mergeCell ref="C37:F37"/>
    <mergeCell ref="C32:F32"/>
    <mergeCell ref="C33:F33"/>
    <mergeCell ref="C34:F34"/>
    <mergeCell ref="C35:F35"/>
    <mergeCell ref="C36:F36"/>
  </mergeCells>
  <phoneticPr fontId="19" type="noConversion"/>
  <conditionalFormatting sqref="O6:O25">
    <cfRule type="cellIs" dxfId="22" priority="51" operator="equal">
      <formula>$B$38</formula>
    </cfRule>
    <cfRule type="cellIs" dxfId="21" priority="52" operator="equal">
      <formula>$B$37</formula>
    </cfRule>
    <cfRule type="cellIs" dxfId="20" priority="53" operator="equal">
      <formula>$B$36</formula>
    </cfRule>
    <cfRule type="cellIs" dxfId="19" priority="54" operator="equal">
      <formula>$B$34</formula>
    </cfRule>
    <cfRule type="cellIs" dxfId="18" priority="55" operator="equal">
      <formula>$B$35</formula>
    </cfRule>
    <cfRule type="cellIs" dxfId="17" priority="56" operator="equal">
      <formula>$B$33</formula>
    </cfRule>
    <cfRule type="cellIs" dxfId="16" priority="57" operator="equal">
      <formula>$B$32</formula>
    </cfRule>
  </conditionalFormatting>
  <dataValidations disablePrompts="1" count="1">
    <dataValidation type="list" allowBlank="1" showErrorMessage="1" sqref="O6:O25" xr:uid="{00000000-0002-0000-0100-000000000000}">
      <formula1>$B$32:$B$37</formula1>
    </dataValidation>
  </dataValidation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>
    <pageSetUpPr fitToPage="1"/>
  </sheetPr>
  <dimension ref="A1:AL985"/>
  <sheetViews>
    <sheetView topLeftCell="S1" zoomScaleNormal="100" workbookViewId="0">
      <selection activeCell="U3" sqref="U3"/>
    </sheetView>
  </sheetViews>
  <sheetFormatPr baseColWidth="10" defaultColWidth="12.625" defaultRowHeight="14.25" x14ac:dyDescent="0.2"/>
  <cols>
    <col min="1" max="1" width="6.875" customWidth="1"/>
    <col min="2" max="2" width="16.5" customWidth="1"/>
    <col min="3" max="3" width="13.625" customWidth="1"/>
    <col min="4" max="4" width="15.625" customWidth="1"/>
    <col min="5" max="5" width="17.25" customWidth="1"/>
    <col min="6" max="6" width="17.5" customWidth="1"/>
    <col min="7" max="7" width="15.875" customWidth="1"/>
    <col min="8" max="8" width="17.75" customWidth="1"/>
    <col min="9" max="9" width="25.625" customWidth="1"/>
    <col min="10" max="10" width="12.5" customWidth="1"/>
    <col min="11" max="11" width="25.625" customWidth="1"/>
    <col min="12" max="12" width="25" hidden="1" customWidth="1"/>
    <col min="13" max="13" width="18.875" customWidth="1"/>
    <col min="14" max="14" width="77.25" hidden="1" customWidth="1"/>
    <col min="15" max="15" width="89.375" bestFit="1" customWidth="1"/>
    <col min="16" max="16" width="59.25" bestFit="1" customWidth="1"/>
    <col min="17" max="17" width="91.75" bestFit="1" customWidth="1"/>
    <col min="18" max="18" width="81.5" hidden="1" customWidth="1"/>
    <col min="19" max="19" width="21" bestFit="1" customWidth="1"/>
    <col min="20" max="20" width="28.625" hidden="1" customWidth="1"/>
    <col min="21" max="21" width="18.75" bestFit="1" customWidth="1"/>
    <col min="22" max="22" width="50.5" customWidth="1"/>
    <col min="23" max="23" width="15.625" bestFit="1" customWidth="1"/>
    <col min="24" max="24" width="29.625" bestFit="1" customWidth="1"/>
    <col min="25" max="25" width="31.5" bestFit="1" customWidth="1"/>
    <col min="26" max="26" width="26.875" bestFit="1" customWidth="1"/>
  </cols>
  <sheetData>
    <row r="1" spans="1:38" s="153" customFormat="1" ht="36" customHeight="1" x14ac:dyDescent="0.2">
      <c r="A1" s="20" t="s">
        <v>12</v>
      </c>
      <c r="B1" s="20" t="s">
        <v>13</v>
      </c>
      <c r="C1" s="20" t="s">
        <v>121</v>
      </c>
      <c r="D1" s="20" t="s">
        <v>15</v>
      </c>
      <c r="E1" s="151" t="s">
        <v>123</v>
      </c>
      <c r="F1" s="154" t="s">
        <v>154</v>
      </c>
      <c r="G1" s="20" t="s">
        <v>19</v>
      </c>
      <c r="H1" s="20" t="s">
        <v>127</v>
      </c>
      <c r="I1" s="20" t="s">
        <v>124</v>
      </c>
      <c r="J1" s="36" t="s">
        <v>126</v>
      </c>
      <c r="K1" s="20" t="s">
        <v>122</v>
      </c>
      <c r="L1" s="37" t="s">
        <v>125</v>
      </c>
      <c r="M1" s="37" t="s">
        <v>17</v>
      </c>
      <c r="N1" s="20" t="s">
        <v>144</v>
      </c>
      <c r="O1" s="20" t="s">
        <v>128</v>
      </c>
      <c r="P1" s="21" t="s">
        <v>18</v>
      </c>
      <c r="Q1" s="38" t="s">
        <v>130</v>
      </c>
      <c r="R1" s="38" t="s">
        <v>129</v>
      </c>
      <c r="S1" s="20" t="s">
        <v>24</v>
      </c>
      <c r="T1" s="21" t="s">
        <v>26</v>
      </c>
      <c r="U1" s="20" t="s">
        <v>28</v>
      </c>
      <c r="V1" s="166" t="s">
        <v>30</v>
      </c>
      <c r="W1" s="166" t="s">
        <v>15</v>
      </c>
      <c r="X1" s="20" t="s">
        <v>33</v>
      </c>
      <c r="Y1" s="167" t="s">
        <v>35</v>
      </c>
      <c r="Z1" s="168" t="s">
        <v>36</v>
      </c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</row>
    <row r="2" spans="1:38" s="52" customFormat="1" ht="28.5" x14ac:dyDescent="0.2">
      <c r="A2" s="39">
        <v>1</v>
      </c>
      <c r="B2" s="40" t="s">
        <v>155</v>
      </c>
      <c r="C2" s="39">
        <v>1</v>
      </c>
      <c r="D2" s="41" t="s">
        <v>42</v>
      </c>
      <c r="E2" s="177">
        <v>46284</v>
      </c>
      <c r="F2" s="137" t="s">
        <v>145</v>
      </c>
      <c r="G2" s="156" t="s">
        <v>29</v>
      </c>
      <c r="H2" s="136" t="s">
        <v>142</v>
      </c>
      <c r="I2" s="43" t="s">
        <v>192</v>
      </c>
      <c r="J2" s="43" t="s">
        <v>193</v>
      </c>
      <c r="K2" s="43" t="s">
        <v>194</v>
      </c>
      <c r="L2" s="44" t="s">
        <v>198</v>
      </c>
      <c r="M2" s="170" t="s">
        <v>163</v>
      </c>
      <c r="N2" s="45" t="s">
        <v>200</v>
      </c>
      <c r="O2" s="45" t="str">
        <f>CONCATENATE(N2,", al ",L2,".")</f>
        <v>Sistema no muestra ordenenado el listado de subcategorías, al buscar avanzadamente.</v>
      </c>
      <c r="P2" s="54" t="s">
        <v>143</v>
      </c>
      <c r="Q2" s="46" t="str">
        <f>"C:\\Users\\erick\\Desktop\\ERIKA\\QA\\work contraloria\\erika QA\\TSRA\\Imágenes\\" &amp; $B2 &amp; ".png"</f>
        <v>C:\\Users\\erick\\Desktop\\ERIKA\\QA\\work contraloria\\erika QA\\TSRA\\Imágenes\\INC-001-EACS.png</v>
      </c>
      <c r="R2" s="46"/>
      <c r="S2" s="47" t="s">
        <v>39</v>
      </c>
      <c r="T2" s="48"/>
      <c r="U2" s="49" t="s">
        <v>96</v>
      </c>
      <c r="V2" s="160"/>
      <c r="W2" s="178" t="s">
        <v>42</v>
      </c>
      <c r="X2" s="50" t="s">
        <v>202</v>
      </c>
      <c r="Y2" s="161"/>
      <c r="Z2" s="162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s="52" customFormat="1" ht="28.5" x14ac:dyDescent="0.2">
      <c r="A3" s="39">
        <v>2</v>
      </c>
      <c r="B3" s="40" t="s">
        <v>156</v>
      </c>
      <c r="C3" s="39">
        <v>1</v>
      </c>
      <c r="D3" s="41" t="s">
        <v>42</v>
      </c>
      <c r="E3" s="177">
        <v>46284</v>
      </c>
      <c r="F3" s="137" t="s">
        <v>145</v>
      </c>
      <c r="G3" s="156" t="s">
        <v>29</v>
      </c>
      <c r="H3" s="42" t="s">
        <v>191</v>
      </c>
      <c r="I3" s="43" t="s">
        <v>192</v>
      </c>
      <c r="J3" s="43" t="s">
        <v>193</v>
      </c>
      <c r="K3" s="43" t="s">
        <v>194</v>
      </c>
      <c r="L3" s="44" t="s">
        <v>198</v>
      </c>
      <c r="M3" s="170" t="s">
        <v>163</v>
      </c>
      <c r="N3" s="45" t="s">
        <v>199</v>
      </c>
      <c r="O3" s="45" t="str">
        <f t="shared" ref="O3:O6" si="0">CONCATENATE(N3,", al ",L3,".")</f>
        <v>Sistema no muestra ordenenado el listado de temas, al buscar avanzadamente.</v>
      </c>
      <c r="P3" s="54" t="s">
        <v>143</v>
      </c>
      <c r="Q3" s="46" t="str">
        <f t="shared" ref="Q3:Q6" si="1">"C:\\Users\\erick\\Desktop\\ERIKA\\QA\\work contraloria\\erika QA\\TSRA\\Imágenes\\" &amp; $B3 &amp; ".png"</f>
        <v>C:\\Users\\erick\\Desktop\\ERIKA\\QA\\work contraloria\\erika QA\\TSRA\\Imágenes\\INC-002-EACS.png</v>
      </c>
      <c r="R3" s="46"/>
      <c r="S3" s="47" t="s">
        <v>39</v>
      </c>
      <c r="T3" s="53"/>
      <c r="U3" s="49" t="s">
        <v>96</v>
      </c>
      <c r="V3" s="160"/>
      <c r="W3" s="165" t="s">
        <v>42</v>
      </c>
      <c r="X3" s="50" t="s">
        <v>202</v>
      </c>
      <c r="Y3" s="163"/>
      <c r="Z3" s="162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  <c r="AL3" s="51"/>
    </row>
    <row r="4" spans="1:38" s="52" customFormat="1" ht="28.5" x14ac:dyDescent="0.2">
      <c r="A4" s="39">
        <v>3</v>
      </c>
      <c r="B4" s="40" t="s">
        <v>157</v>
      </c>
      <c r="C4" s="39">
        <v>1</v>
      </c>
      <c r="D4" s="41" t="s">
        <v>42</v>
      </c>
      <c r="E4" s="177">
        <v>46284</v>
      </c>
      <c r="F4" s="137" t="s">
        <v>145</v>
      </c>
      <c r="G4" s="156" t="s">
        <v>29</v>
      </c>
      <c r="H4" s="136" t="s">
        <v>142</v>
      </c>
      <c r="I4" s="43" t="s">
        <v>192</v>
      </c>
      <c r="J4" s="43" t="s">
        <v>193</v>
      </c>
      <c r="K4" s="43" t="s">
        <v>194</v>
      </c>
      <c r="L4" s="44" t="s">
        <v>198</v>
      </c>
      <c r="M4" s="170" t="s">
        <v>163</v>
      </c>
      <c r="N4" s="45" t="s">
        <v>201</v>
      </c>
      <c r="O4" s="45" t="str">
        <f t="shared" si="0"/>
        <v>Sistema limpia filtros externos diferente a categoría, subcategoría y tema, al buscar avanzadamente.</v>
      </c>
      <c r="P4" s="54" t="s">
        <v>143</v>
      </c>
      <c r="Q4" s="46" t="str">
        <f t="shared" si="1"/>
        <v>C:\\Users\\erick\\Desktop\\ERIKA\\QA\\work contraloria\\erika QA\\TSRA\\Imágenes\\INC-003-EACS.png</v>
      </c>
      <c r="R4" s="46"/>
      <c r="S4" s="47" t="s">
        <v>39</v>
      </c>
      <c r="T4" s="53"/>
      <c r="U4" s="49" t="s">
        <v>96</v>
      </c>
      <c r="V4" s="160"/>
      <c r="W4" s="165" t="s">
        <v>42</v>
      </c>
      <c r="X4" s="50" t="s">
        <v>202</v>
      </c>
      <c r="Y4" s="163"/>
      <c r="Z4" s="162"/>
      <c r="AA4" s="51"/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</row>
    <row r="5" spans="1:38" s="52" customFormat="1" ht="28.5" x14ac:dyDescent="0.2">
      <c r="A5" s="39">
        <v>4</v>
      </c>
      <c r="B5" s="40" t="s">
        <v>158</v>
      </c>
      <c r="C5" s="39">
        <v>1</v>
      </c>
      <c r="D5" s="41" t="s">
        <v>42</v>
      </c>
      <c r="E5" s="177">
        <v>46284</v>
      </c>
      <c r="F5" s="137" t="s">
        <v>145</v>
      </c>
      <c r="G5" s="156" t="s">
        <v>29</v>
      </c>
      <c r="H5" s="42" t="s">
        <v>191</v>
      </c>
      <c r="I5" s="43" t="s">
        <v>192</v>
      </c>
      <c r="J5" s="43" t="s">
        <v>193</v>
      </c>
      <c r="K5" s="43" t="s">
        <v>194</v>
      </c>
      <c r="L5" s="44" t="s">
        <v>195</v>
      </c>
      <c r="M5" s="170" t="s">
        <v>47</v>
      </c>
      <c r="N5" s="45" t="s">
        <v>196</v>
      </c>
      <c r="O5" s="45" t="str">
        <f t="shared" si="0"/>
        <v>Sistema muestra diseño sobrepuesto en la selección de columnas de la grilla de resultados, al buscar.</v>
      </c>
      <c r="P5" s="54" t="s">
        <v>143</v>
      </c>
      <c r="Q5" s="46" t="str">
        <f t="shared" si="1"/>
        <v>C:\\Users\\erick\\Desktop\\ERIKA\\QA\\work contraloria\\erika QA\\TSRA\\Imágenes\\INC-004-EACS.png</v>
      </c>
      <c r="R5" s="46"/>
      <c r="S5" s="47" t="s">
        <v>39</v>
      </c>
      <c r="T5" s="53"/>
      <c r="U5" s="49" t="s">
        <v>96</v>
      </c>
      <c r="V5" s="160"/>
      <c r="W5" s="165" t="s">
        <v>42</v>
      </c>
      <c r="X5" s="50" t="s">
        <v>202</v>
      </c>
      <c r="Y5" s="163"/>
      <c r="Z5" s="162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</row>
    <row r="6" spans="1:38" s="52" customFormat="1" ht="28.5" x14ac:dyDescent="0.2">
      <c r="A6" s="39">
        <v>5</v>
      </c>
      <c r="B6" s="40" t="s">
        <v>159</v>
      </c>
      <c r="C6" s="39">
        <v>1</v>
      </c>
      <c r="D6" s="41" t="s">
        <v>42</v>
      </c>
      <c r="E6" s="177">
        <v>46284</v>
      </c>
      <c r="F6" s="137" t="s">
        <v>145</v>
      </c>
      <c r="G6" s="156" t="s">
        <v>29</v>
      </c>
      <c r="H6" s="136" t="s">
        <v>142</v>
      </c>
      <c r="I6" s="43" t="s">
        <v>192</v>
      </c>
      <c r="J6" s="43" t="s">
        <v>193</v>
      </c>
      <c r="K6" s="43" t="s">
        <v>194</v>
      </c>
      <c r="L6" s="44" t="s">
        <v>195</v>
      </c>
      <c r="M6" s="170" t="s">
        <v>47</v>
      </c>
      <c r="N6" s="45" t="s">
        <v>197</v>
      </c>
      <c r="O6" s="45" t="str">
        <f t="shared" si="0"/>
        <v>Sistema muestra diseño sobrepuesto en la paginación de la grilla de resultados, al buscar.</v>
      </c>
      <c r="P6" s="54" t="s">
        <v>143</v>
      </c>
      <c r="Q6" s="46" t="str">
        <f t="shared" si="1"/>
        <v>C:\\Users\\erick\\Desktop\\ERIKA\\QA\\work contraloria\\erika QA\\TSRA\\Imágenes\\INC-005-EACS.png</v>
      </c>
      <c r="R6" s="46"/>
      <c r="S6" s="47" t="s">
        <v>39</v>
      </c>
      <c r="T6" s="48"/>
      <c r="U6" s="49" t="s">
        <v>96</v>
      </c>
      <c r="V6" s="160"/>
      <c r="W6" s="165" t="s">
        <v>42</v>
      </c>
      <c r="X6" s="50" t="s">
        <v>202</v>
      </c>
      <c r="Y6" s="164"/>
      <c r="Z6" s="162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</row>
    <row r="7" spans="1:38" x14ac:dyDescent="0.2">
      <c r="A7" s="13"/>
      <c r="B7" s="18"/>
      <c r="C7" s="4"/>
      <c r="D7" s="2"/>
      <c r="E7" s="4"/>
      <c r="F7" s="4"/>
      <c r="G7" s="4"/>
      <c r="H7" s="4"/>
      <c r="I7" s="4"/>
      <c r="J7" s="4"/>
      <c r="K7" s="4"/>
      <c r="L7" s="4"/>
      <c r="M7" s="19"/>
      <c r="N7" s="16"/>
      <c r="O7" s="16"/>
      <c r="P7" s="13"/>
      <c r="Q7" s="13"/>
      <c r="R7" s="13"/>
      <c r="S7" s="8"/>
      <c r="T7" s="8"/>
      <c r="U7" s="8"/>
      <c r="V7" s="16"/>
      <c r="W7" s="4"/>
      <c r="X7" s="13"/>
      <c r="Y7" s="13"/>
      <c r="Z7" s="13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1:38" x14ac:dyDescent="0.2">
      <c r="A8" s="13"/>
      <c r="B8" s="18"/>
      <c r="C8" s="4"/>
      <c r="D8" s="18"/>
      <c r="E8" s="8"/>
      <c r="F8" s="18"/>
      <c r="G8" s="4"/>
      <c r="H8" s="4"/>
      <c r="I8" s="4"/>
      <c r="J8" s="4"/>
      <c r="K8" s="4"/>
      <c r="L8" s="4"/>
      <c r="M8" s="19"/>
      <c r="N8" s="16"/>
      <c r="O8" s="16"/>
      <c r="P8" s="13"/>
      <c r="Q8" s="13"/>
      <c r="R8" s="13"/>
      <c r="S8" s="8"/>
      <c r="T8" s="8"/>
      <c r="U8" s="8"/>
      <c r="V8" s="16"/>
      <c r="W8" s="4"/>
      <c r="X8" s="13"/>
      <c r="Y8" s="13"/>
      <c r="Z8" s="13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1:38" x14ac:dyDescent="0.2">
      <c r="A9" s="13"/>
      <c r="B9" s="18"/>
      <c r="C9" s="4"/>
      <c r="D9" s="18"/>
      <c r="E9" s="8"/>
      <c r="F9" s="4"/>
      <c r="G9" s="4"/>
      <c r="H9" s="4"/>
      <c r="I9" s="4"/>
      <c r="J9" s="4"/>
      <c r="K9" s="4"/>
      <c r="L9" s="4"/>
      <c r="M9" s="19"/>
      <c r="N9" s="16"/>
      <c r="O9" s="16"/>
      <c r="P9" s="13"/>
      <c r="Q9" s="13"/>
      <c r="R9" s="13"/>
      <c r="S9" s="8"/>
      <c r="T9" s="8"/>
      <c r="U9" s="8"/>
      <c r="V9" s="16"/>
      <c r="W9" s="4"/>
      <c r="X9" s="13"/>
      <c r="Y9" s="13"/>
      <c r="Z9" s="13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1:38" ht="15" x14ac:dyDescent="0.25">
      <c r="A10" s="13"/>
      <c r="B10" s="26" t="s">
        <v>72</v>
      </c>
      <c r="C10" s="27"/>
      <c r="D10" s="26"/>
      <c r="E10" s="2"/>
      <c r="F10" s="2"/>
      <c r="G10" s="4"/>
      <c r="H10" s="4"/>
      <c r="I10" s="4"/>
      <c r="J10" s="4"/>
      <c r="K10" s="4"/>
      <c r="L10" s="4"/>
      <c r="M10" s="19"/>
      <c r="N10" s="16"/>
      <c r="O10" s="16"/>
      <c r="P10" s="13"/>
      <c r="Q10" s="13"/>
      <c r="R10" s="13"/>
      <c r="S10" s="8"/>
      <c r="T10" s="8"/>
      <c r="U10" s="8"/>
      <c r="V10" s="16"/>
      <c r="W10" s="4"/>
      <c r="X10" s="13"/>
      <c r="Y10" s="13"/>
      <c r="Z10" s="13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1:38" x14ac:dyDescent="0.2">
      <c r="A11" s="13"/>
      <c r="B11" s="28" t="s">
        <v>44</v>
      </c>
      <c r="C11" s="208" t="s">
        <v>79</v>
      </c>
      <c r="D11" s="209"/>
      <c r="E11" s="209"/>
      <c r="F11" s="209"/>
      <c r="G11" s="209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16"/>
      <c r="W11" s="4"/>
      <c r="X11" s="13"/>
      <c r="Y11" s="13"/>
      <c r="Z11" s="13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1:38" x14ac:dyDescent="0.2">
      <c r="A12" s="13"/>
      <c r="B12" s="29" t="s">
        <v>42</v>
      </c>
      <c r="C12" s="208" t="s">
        <v>80</v>
      </c>
      <c r="D12" s="209"/>
      <c r="E12" s="209"/>
      <c r="F12" s="209"/>
      <c r="G12" s="209"/>
      <c r="H12" s="4"/>
      <c r="I12" s="4"/>
      <c r="J12" s="4"/>
      <c r="K12" s="4"/>
      <c r="L12" s="4"/>
      <c r="M12" s="19"/>
      <c r="N12" s="16"/>
      <c r="O12" s="16"/>
      <c r="P12" s="13"/>
      <c r="Q12" s="13"/>
      <c r="R12" s="13"/>
      <c r="S12" s="8"/>
      <c r="T12" s="8"/>
      <c r="U12" s="8"/>
      <c r="V12" s="16"/>
      <c r="W12" s="4"/>
      <c r="X12" s="13"/>
      <c r="Y12" s="13"/>
      <c r="Z12" s="13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1:38" x14ac:dyDescent="0.2">
      <c r="A13" s="13"/>
      <c r="B13" s="30" t="s">
        <v>43</v>
      </c>
      <c r="C13" s="208" t="s">
        <v>81</v>
      </c>
      <c r="D13" s="209"/>
      <c r="E13" s="209"/>
      <c r="F13" s="209"/>
      <c r="G13" s="209"/>
      <c r="H13" s="4"/>
      <c r="I13" s="4"/>
      <c r="J13" s="4"/>
      <c r="K13" s="4"/>
      <c r="L13" s="4"/>
      <c r="M13" s="19"/>
      <c r="N13" s="16"/>
      <c r="O13" s="16"/>
      <c r="P13" s="13"/>
      <c r="Q13" s="13"/>
      <c r="R13" s="13"/>
      <c r="S13" s="8"/>
      <c r="T13" s="8"/>
      <c r="U13" s="8"/>
      <c r="V13" s="16"/>
      <c r="W13" s="4"/>
      <c r="X13" s="13"/>
      <c r="Y13" s="13"/>
      <c r="Z13" s="13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1:38" x14ac:dyDescent="0.2">
      <c r="A14" s="13"/>
      <c r="B14" s="31" t="s">
        <v>46</v>
      </c>
      <c r="C14" s="208" t="s">
        <v>82</v>
      </c>
      <c r="D14" s="209"/>
      <c r="E14" s="209"/>
      <c r="F14" s="209"/>
      <c r="G14" s="209"/>
      <c r="H14" s="4"/>
      <c r="I14" s="4"/>
      <c r="J14" s="4"/>
      <c r="K14" s="4"/>
      <c r="L14" s="4"/>
      <c r="M14" s="19"/>
      <c r="N14" s="16"/>
      <c r="O14" s="16"/>
      <c r="P14" s="13"/>
      <c r="Q14" s="13"/>
      <c r="R14" s="13"/>
      <c r="S14" s="8"/>
      <c r="T14" s="8"/>
      <c r="U14" s="8"/>
      <c r="V14" s="16"/>
      <c r="W14" s="4"/>
      <c r="X14" s="13"/>
      <c r="Y14" s="13"/>
      <c r="Z14" s="13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38" x14ac:dyDescent="0.2">
      <c r="A15" s="13"/>
      <c r="B15" s="32" t="s">
        <v>48</v>
      </c>
      <c r="C15" s="208" t="s">
        <v>83</v>
      </c>
      <c r="D15" s="209"/>
      <c r="E15" s="209"/>
      <c r="F15" s="209"/>
      <c r="G15" s="209"/>
      <c r="H15" s="4"/>
      <c r="I15" s="4"/>
      <c r="J15" s="4"/>
      <c r="K15" s="4"/>
      <c r="L15" s="4"/>
      <c r="M15" s="19"/>
      <c r="N15" s="16"/>
      <c r="O15" s="16"/>
      <c r="P15" s="13"/>
      <c r="Q15" s="13"/>
      <c r="R15" s="13"/>
      <c r="S15" s="8"/>
      <c r="T15" s="8"/>
      <c r="U15" s="8"/>
      <c r="V15" s="16"/>
      <c r="W15" s="4"/>
      <c r="X15" s="13"/>
      <c r="Y15" s="13"/>
      <c r="Z15" s="13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1:38" x14ac:dyDescent="0.2">
      <c r="A16" s="13"/>
      <c r="B16" s="35" t="s">
        <v>84</v>
      </c>
      <c r="C16" s="208" t="s">
        <v>85</v>
      </c>
      <c r="D16" s="209"/>
      <c r="E16" s="209"/>
      <c r="F16" s="209"/>
      <c r="G16" s="209"/>
      <c r="H16" s="4"/>
      <c r="I16" s="4"/>
      <c r="J16" s="4"/>
      <c r="K16" s="4"/>
      <c r="L16" s="4"/>
      <c r="M16" s="19"/>
      <c r="N16" s="16"/>
      <c r="O16" s="16"/>
      <c r="P16" s="13"/>
      <c r="Q16" s="13"/>
      <c r="R16" s="13"/>
      <c r="S16" s="8"/>
      <c r="T16" s="8"/>
      <c r="U16" s="8"/>
      <c r="V16" s="16"/>
      <c r="W16" s="4"/>
      <c r="X16" s="13"/>
      <c r="Y16" s="13"/>
      <c r="Z16" s="13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x14ac:dyDescent="0.2">
      <c r="A17" s="13"/>
      <c r="B17" s="33" t="s">
        <v>86</v>
      </c>
      <c r="C17" s="208" t="s">
        <v>87</v>
      </c>
      <c r="D17" s="209"/>
      <c r="E17" s="209"/>
      <c r="F17" s="209"/>
      <c r="G17" s="209"/>
      <c r="H17" s="4"/>
      <c r="I17" s="4"/>
      <c r="J17" s="4"/>
      <c r="K17" s="4"/>
      <c r="L17" s="4"/>
      <c r="M17" s="19"/>
      <c r="N17" s="16"/>
      <c r="O17" s="16"/>
      <c r="P17" s="13"/>
      <c r="Q17" s="13"/>
      <c r="R17" s="13"/>
      <c r="S17" s="8"/>
      <c r="T17" s="8"/>
      <c r="U17" s="8"/>
      <c r="V17" s="16"/>
      <c r="W17" s="4"/>
      <c r="X17" s="13"/>
      <c r="Y17" s="13"/>
      <c r="Z17" s="13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x14ac:dyDescent="0.2">
      <c r="A18" s="13"/>
      <c r="B18" s="18"/>
      <c r="C18" s="2"/>
      <c r="D18" s="155"/>
      <c r="E18" s="155"/>
      <c r="F18" s="2"/>
      <c r="G18" s="2"/>
      <c r="H18" s="4"/>
      <c r="I18" s="4"/>
      <c r="J18" s="4"/>
      <c r="K18" s="4"/>
      <c r="L18" s="4"/>
      <c r="M18" s="19"/>
      <c r="N18" s="16"/>
      <c r="O18" s="16"/>
      <c r="P18" s="13"/>
      <c r="Q18" s="13"/>
      <c r="R18" s="13"/>
      <c r="S18" s="8"/>
      <c r="T18" s="8"/>
      <c r="U18" s="8"/>
      <c r="V18" s="16"/>
      <c r="W18" s="4"/>
      <c r="X18" s="13"/>
      <c r="Y18" s="13"/>
      <c r="Z18" s="13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ht="28.5" x14ac:dyDescent="0.2">
      <c r="A19" s="13"/>
      <c r="B19" s="157" t="s">
        <v>29</v>
      </c>
      <c r="C19" s="206" t="s">
        <v>88</v>
      </c>
      <c r="D19" s="207"/>
      <c r="E19" s="207"/>
      <c r="F19" s="207"/>
      <c r="G19" s="207"/>
      <c r="H19" s="4"/>
      <c r="I19" s="4"/>
      <c r="J19" s="4"/>
      <c r="K19" s="4"/>
      <c r="L19" s="4"/>
      <c r="M19" s="19"/>
      <c r="N19" s="16"/>
      <c r="O19" s="16"/>
      <c r="P19" s="13"/>
      <c r="Q19" s="13"/>
      <c r="R19" s="13"/>
      <c r="S19" s="8"/>
      <c r="T19" s="8"/>
      <c r="U19" s="8"/>
      <c r="V19" s="16"/>
      <c r="W19" s="4"/>
      <c r="X19" s="13"/>
      <c r="Y19" s="13"/>
      <c r="Z19" s="13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ht="28.5" x14ac:dyDescent="0.2">
      <c r="A20" s="13"/>
      <c r="B20" s="158" t="s">
        <v>56</v>
      </c>
      <c r="C20" s="206" t="s">
        <v>89</v>
      </c>
      <c r="D20" s="207"/>
      <c r="E20" s="207"/>
      <c r="F20" s="207"/>
      <c r="G20" s="207"/>
      <c r="H20" s="4"/>
      <c r="I20" s="4"/>
      <c r="J20" s="4"/>
      <c r="K20" s="4"/>
      <c r="L20" s="4"/>
      <c r="M20" s="19"/>
      <c r="N20" s="16"/>
      <c r="O20" s="16"/>
      <c r="P20" s="13"/>
      <c r="Q20" s="13"/>
      <c r="R20" s="13"/>
      <c r="S20" s="8"/>
      <c r="T20" s="8"/>
      <c r="U20" s="8"/>
      <c r="V20" s="16"/>
      <c r="W20" s="4"/>
      <c r="X20" s="13"/>
      <c r="Y20" s="13"/>
      <c r="Z20" s="13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ht="28.5" x14ac:dyDescent="0.2">
      <c r="A21" s="13"/>
      <c r="B21" s="159" t="s">
        <v>65</v>
      </c>
      <c r="C21" s="206" t="s">
        <v>90</v>
      </c>
      <c r="D21" s="207"/>
      <c r="E21" s="207"/>
      <c r="F21" s="207"/>
      <c r="G21" s="207"/>
      <c r="H21" s="4"/>
      <c r="I21" s="4"/>
      <c r="J21" s="4"/>
      <c r="K21" s="4"/>
      <c r="L21" s="4"/>
      <c r="M21" s="19"/>
      <c r="N21" s="16"/>
      <c r="O21" s="16"/>
      <c r="P21" s="13"/>
      <c r="Q21" s="13"/>
      <c r="R21" s="13"/>
      <c r="S21" s="8"/>
      <c r="T21" s="8"/>
      <c r="U21" s="8"/>
      <c r="V21" s="16"/>
      <c r="W21" s="4"/>
      <c r="X21" s="13"/>
      <c r="Y21" s="13"/>
      <c r="Z21" s="13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</row>
    <row r="22" spans="1:38" x14ac:dyDescent="0.2">
      <c r="A22" s="13"/>
      <c r="B22" s="18"/>
      <c r="C22" s="2"/>
      <c r="D22" s="155"/>
      <c r="E22" s="155"/>
      <c r="F22" s="2"/>
      <c r="G22" s="2"/>
      <c r="H22" s="4"/>
      <c r="I22" s="4"/>
      <c r="J22" s="4"/>
      <c r="K22" s="4"/>
      <c r="L22" s="4"/>
      <c r="M22" s="19"/>
      <c r="N22" s="16"/>
      <c r="O22" s="16"/>
      <c r="P22" s="13"/>
      <c r="Q22" s="13"/>
      <c r="R22" s="13"/>
      <c r="S22" s="8"/>
      <c r="T22" s="8"/>
      <c r="U22" s="8"/>
      <c r="V22" s="16"/>
      <c r="W22" s="4"/>
      <c r="X22" s="13"/>
      <c r="Y22" s="13"/>
      <c r="Z22" s="13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x14ac:dyDescent="0.2">
      <c r="A23" s="13"/>
      <c r="B23" s="28" t="s">
        <v>91</v>
      </c>
      <c r="C23" s="206" t="s">
        <v>92</v>
      </c>
      <c r="D23" s="207"/>
      <c r="E23" s="207"/>
      <c r="F23" s="207"/>
      <c r="G23" s="207"/>
      <c r="H23" s="4"/>
      <c r="I23" s="4"/>
      <c r="J23" s="4"/>
      <c r="K23" s="4"/>
      <c r="L23" s="4"/>
      <c r="M23" s="19"/>
      <c r="N23" s="16"/>
      <c r="O23" s="16"/>
      <c r="P23" s="13"/>
      <c r="Q23" s="13"/>
      <c r="R23" s="13"/>
      <c r="S23" s="8"/>
      <c r="T23" s="8"/>
      <c r="U23" s="8"/>
      <c r="V23" s="16"/>
      <c r="W23" s="4"/>
      <c r="X23" s="13"/>
      <c r="Y23" s="13"/>
      <c r="Z23" s="13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x14ac:dyDescent="0.2">
      <c r="A24" s="13"/>
      <c r="B24" s="30" t="s">
        <v>94</v>
      </c>
      <c r="C24" s="206" t="s">
        <v>95</v>
      </c>
      <c r="D24" s="207"/>
      <c r="E24" s="207"/>
      <c r="F24" s="207"/>
      <c r="G24" s="207"/>
      <c r="H24" s="4"/>
      <c r="I24" s="4"/>
      <c r="J24" s="4"/>
      <c r="K24" s="4"/>
      <c r="L24" s="4"/>
      <c r="M24" s="19"/>
      <c r="N24" s="16"/>
      <c r="O24" s="16"/>
      <c r="P24" s="13"/>
      <c r="Q24" s="13"/>
      <c r="R24" s="13"/>
      <c r="S24" s="8"/>
      <c r="T24" s="8"/>
      <c r="U24" s="8"/>
      <c r="V24" s="16"/>
      <c r="W24" s="4"/>
      <c r="X24" s="13"/>
      <c r="Y24" s="13"/>
      <c r="Z24" s="13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x14ac:dyDescent="0.2">
      <c r="A25" s="13"/>
      <c r="B25" s="32" t="s">
        <v>96</v>
      </c>
      <c r="C25" s="206" t="s">
        <v>97</v>
      </c>
      <c r="D25" s="207"/>
      <c r="E25" s="207"/>
      <c r="F25" s="207"/>
      <c r="G25" s="207"/>
      <c r="H25" s="4"/>
      <c r="I25" s="4"/>
      <c r="J25" s="4"/>
      <c r="K25" s="4"/>
      <c r="L25" s="4"/>
      <c r="M25" s="19"/>
      <c r="N25" s="16"/>
      <c r="O25" s="16"/>
      <c r="P25" s="13"/>
      <c r="Q25" s="13"/>
      <c r="R25" s="13"/>
      <c r="S25" s="8"/>
      <c r="T25" s="8"/>
      <c r="U25" s="8"/>
      <c r="V25" s="16"/>
      <c r="W25" s="4"/>
      <c r="X25" s="13"/>
      <c r="Y25" s="13"/>
      <c r="Z25" s="13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x14ac:dyDescent="0.2">
      <c r="A26" s="13"/>
      <c r="B26" s="18"/>
      <c r="C26" s="4"/>
      <c r="D26" s="18"/>
      <c r="E26" s="8"/>
      <c r="F26" s="4"/>
      <c r="G26" s="4"/>
      <c r="H26" s="4"/>
      <c r="I26" s="4"/>
      <c r="J26" s="4"/>
      <c r="K26" s="4"/>
      <c r="L26" s="4"/>
      <c r="M26" s="19"/>
      <c r="N26" s="16"/>
      <c r="O26" s="16"/>
      <c r="P26" s="13"/>
      <c r="Q26" s="13"/>
      <c r="R26" s="13"/>
      <c r="S26" s="8"/>
      <c r="T26" s="8"/>
      <c r="U26" s="8"/>
      <c r="V26" s="16"/>
      <c r="W26" s="4"/>
      <c r="X26" s="13"/>
      <c r="Y26" s="13"/>
      <c r="Z26" s="13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x14ac:dyDescent="0.2">
      <c r="A27" s="13"/>
      <c r="B27" s="18"/>
      <c r="C27" s="4"/>
      <c r="D27" s="18"/>
      <c r="E27" s="8"/>
      <c r="F27" s="4"/>
      <c r="G27" s="4"/>
      <c r="H27" s="4"/>
      <c r="I27" s="4"/>
      <c r="J27" s="4"/>
      <c r="K27" s="4"/>
      <c r="L27" s="4"/>
      <c r="M27" s="19"/>
      <c r="N27" s="16"/>
      <c r="O27" s="16"/>
      <c r="P27" s="13"/>
      <c r="Q27" s="13"/>
      <c r="R27" s="13"/>
      <c r="S27" s="8"/>
      <c r="T27" s="8"/>
      <c r="U27" s="8"/>
      <c r="V27" s="16"/>
      <c r="W27" s="4"/>
      <c r="X27" s="13"/>
      <c r="Y27" s="13"/>
      <c r="Z27" s="13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spans="1:38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spans="1:38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spans="1:38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spans="1:38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spans="1:38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spans="1:38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spans="1:38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spans="1:38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spans="1:38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spans="1:38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spans="1:38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spans="1:38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spans="1:38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spans="1:38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spans="1:38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spans="1:38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spans="1:38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spans="1:38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spans="1:38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spans="1:38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spans="1:38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spans="1:38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spans="1:38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spans="1:38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spans="1:38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spans="1:38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spans="1:38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spans="1:38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spans="1:38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spans="1:38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spans="1:38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spans="1:38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spans="1:38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spans="1:38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spans="1:38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spans="1:38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spans="1:38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spans="1:38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spans="1:38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spans="1:38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spans="1:38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spans="1:38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spans="1:38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spans="1:38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spans="1:38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spans="1:38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spans="1:38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spans="1:38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spans="1:38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spans="1:38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spans="1:38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spans="1:38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spans="1:38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spans="1:38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spans="1:38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spans="1:38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spans="1:38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spans="1:38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spans="1:38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spans="1:38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spans="1:38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spans="1:38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spans="1:38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spans="1:38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spans="1:38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spans="1:38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spans="1:38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spans="1:38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spans="1:38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spans="1:38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spans="1:38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spans="1:38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spans="1:38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spans="1:38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spans="1:38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spans="1:38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spans="1:38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spans="1:38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spans="1:38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spans="1:38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spans="1:38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spans="1:38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spans="1:38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spans="1:38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spans="1:38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spans="1:38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spans="1:38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spans="1:38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spans="1:38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spans="1:38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spans="1:38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spans="1:38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spans="1:38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spans="1:38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spans="1:38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spans="1:38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spans="1:38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spans="1:38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spans="1:38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spans="1:38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spans="1:38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spans="1:38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spans="1:38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spans="1:38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spans="1:38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spans="1:38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spans="1:38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spans="1:38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spans="1:38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spans="1:38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spans="1:38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spans="1:38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spans="1:38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spans="1:38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spans="1:38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spans="1:38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spans="1:38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spans="1:38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spans="1:38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spans="1:38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spans="1:38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spans="1:38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spans="1:38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spans="1:38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spans="1:38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spans="1:38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spans="1:38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spans="1:38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spans="1:38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spans="1:38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spans="1:38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spans="1:38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spans="1:38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spans="1:38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spans="1:38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spans="1:38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spans="1:38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spans="1:38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spans="1:38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spans="1:38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spans="1:38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spans="1:38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spans="1:38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spans="1:38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spans="1:38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spans="1:38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spans="1:38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spans="1:38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spans="1:38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spans="1:38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spans="1:38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spans="1:38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spans="1:38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spans="1:38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spans="1:38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spans="1:38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spans="1:38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spans="1:38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spans="1:38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spans="1:38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spans="1:38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spans="1:38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spans="1:38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spans="1:38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spans="1:38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spans="1:38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spans="1:38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spans="1:38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spans="1:38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spans="1:38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spans="1:38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spans="1:38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spans="1:38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spans="1:38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spans="1:38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spans="1:38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spans="1:38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spans="1:38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spans="1:38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spans="1:38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spans="1:38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spans="1:38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spans="1:38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spans="1:38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spans="1:38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spans="1:38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spans="1:38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spans="1:38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spans="1:38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spans="1:38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spans="1:38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spans="1:38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spans="1:38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spans="1:38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spans="1:38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spans="1:38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spans="1:38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spans="1:38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spans="1:38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spans="1:38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spans="1:38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spans="1:38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spans="1:38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spans="1:38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spans="1:38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spans="1:38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spans="1:38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spans="1:38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spans="1:38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spans="1:38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spans="1:38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spans="1:38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spans="1:38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spans="1:38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spans="1:38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spans="1:38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spans="1:38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spans="1:38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spans="1:38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spans="1:38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spans="1:38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spans="1:38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spans="1:38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spans="1:38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spans="1:38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spans="1:38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spans="1:38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spans="1:38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spans="1:38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spans="1:38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spans="1:38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spans="1:38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spans="1:38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spans="1:38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spans="1:38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spans="1:38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spans="1:38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spans="1:38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spans="1:38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spans="1:38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spans="1:38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spans="1:38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spans="1:38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spans="1:38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spans="1:38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spans="1:38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spans="1:38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spans="1:38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spans="1:38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spans="1:38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spans="1:38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spans="1:38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spans="1:38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spans="1:38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spans="1:38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spans="1:38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spans="1:38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spans="1:38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spans="1:38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spans="1:38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spans="1:38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spans="1:38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spans="1:38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spans="1:38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spans="1:38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spans="1:38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spans="1:38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spans="1:38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spans="1:38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spans="1:38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spans="1:38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spans="1:38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spans="1:38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spans="1:38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spans="1:38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spans="1:38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spans="1:38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spans="1:38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spans="1:38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spans="1:38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spans="1:38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spans="1:38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spans="1:38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spans="1:38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spans="1:38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spans="1:38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spans="1:38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spans="1:38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spans="1:38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spans="1:38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spans="1:38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spans="1:38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spans="1:38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spans="1:38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spans="1:38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spans="1:38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spans="1:38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spans="1:38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spans="1:38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spans="1:38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spans="1:38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spans="1:38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spans="1:38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spans="1:38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spans="1:38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spans="1:38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spans="1:38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spans="1:38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spans="1:38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spans="1:38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spans="1:38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spans="1:38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spans="1:38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spans="1:38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spans="1:38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spans="1:38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spans="1:38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spans="1:38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spans="1:38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spans="1:38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spans="1:38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spans="1:38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spans="1:38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spans="1:38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spans="1:38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spans="1:38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spans="1:38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spans="1:38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spans="1:38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spans="1:38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spans="1:38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spans="1:38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spans="1:38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spans="1:38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spans="1:38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spans="1:38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spans="1:38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spans="1:38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spans="1:38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spans="1:38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spans="1:38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spans="1:38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spans="1:38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spans="1:38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spans="1:38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spans="1:38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spans="1:38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spans="1:38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spans="1:38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spans="1:38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spans="1:38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spans="1:38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spans="1:38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spans="1:38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spans="1:38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spans="1:38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spans="1:38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spans="1:38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spans="1:38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spans="1:38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spans="1:38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spans="1:38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spans="1:38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spans="1:38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spans="1:38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spans="1:38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spans="1:38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spans="1:38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spans="1:38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spans="1:38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spans="1:38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spans="1:38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spans="1:38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spans="1:38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spans="1:38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spans="1:38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spans="1:38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spans="1:38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spans="1:38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spans="1:38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spans="1:38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spans="1:38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spans="1:38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spans="1:38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spans="1:38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spans="1:38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spans="1:38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spans="1:38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spans="1:38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spans="1:38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spans="1:38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spans="1:38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spans="1:38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spans="1:38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spans="1:38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spans="1:38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spans="1:38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spans="1:38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spans="1:38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spans="1:38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spans="1:38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spans="1:38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spans="1:38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spans="1:38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spans="1:38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spans="1:38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spans="1:38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spans="1:38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spans="1:38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spans="1:38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spans="1:38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spans="1:38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spans="1:38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spans="1:38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spans="1:38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spans="1:38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spans="1:38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spans="1:38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spans="1:38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spans="1:38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spans="1:38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spans="1:38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spans="1:38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spans="1:38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spans="1:38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spans="1:38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spans="1:38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spans="1:38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spans="1:38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spans="1:38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spans="1:38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spans="1:38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spans="1:38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spans="1:38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spans="1:38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spans="1:38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spans="1:38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spans="1:38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spans="1:38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spans="1:38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spans="1:38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spans="1:38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spans="1:38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spans="1:38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spans="1:38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spans="1:38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spans="1:38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spans="1:38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spans="1:38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spans="1:38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spans="1:38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spans="1:38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spans="1:38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spans="1:38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spans="1:38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spans="1:38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spans="1:38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spans="1:38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spans="1:38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spans="1:38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spans="1:38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spans="1:38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spans="1:38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spans="1:38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spans="1:38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spans="1:38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spans="1:38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spans="1:38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spans="1:38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spans="1:38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spans="1:38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spans="1:38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spans="1:38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spans="1:38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spans="1:38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spans="1:38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spans="1:38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spans="1:38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spans="1:38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spans="1:38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spans="1:38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spans="1:38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spans="1:38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spans="1:38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spans="1:38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spans="1:38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spans="1:38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spans="1:38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spans="1:38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spans="1:38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spans="1:38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spans="1:38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spans="1:38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spans="1:38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spans="1:38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spans="1:38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spans="1:38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spans="1:38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spans="1:38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spans="1:38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spans="1:38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spans="1:38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spans="1:38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spans="1:38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spans="1:38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spans="1:38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spans="1:38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spans="1:38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spans="1:38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spans="1:38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spans="1:38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spans="1:38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spans="1:38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spans="1:38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spans="1:38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spans="1:38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spans="1:38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spans="1:38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spans="1:38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spans="1:38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spans="1:38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spans="1:38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spans="1:38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spans="1:38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spans="1:38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spans="1:38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spans="1:38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spans="1:38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spans="1:38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spans="1:38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spans="1:38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spans="1:38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spans="1:38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spans="1:38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spans="1:38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spans="1:38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spans="1:38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spans="1:38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spans="1:38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spans="1:38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spans="1:38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spans="1:38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spans="1:38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spans="1:38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spans="1:38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spans="1:38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spans="1:38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spans="1:38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spans="1:38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spans="1:38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spans="1:38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spans="1:38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spans="1:38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spans="1:38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spans="1:38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spans="1:38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spans="1:38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spans="1:38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spans="1:38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spans="1:38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spans="1:38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spans="1:38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spans="1:38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spans="1:38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spans="1:38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spans="1:38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spans="1:38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spans="1:38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spans="1:38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spans="1:38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spans="1:38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spans="1:38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spans="1:38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spans="1:38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spans="1:38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spans="1:38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spans="1:38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spans="1:38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spans="1:38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spans="1:38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spans="1:38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spans="1:38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spans="1:38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spans="1:38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spans="1:38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spans="1:38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spans="1:38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spans="1:38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spans="1:38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spans="1:38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spans="1:38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spans="1:38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spans="1:38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spans="1:38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spans="1:38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spans="1:38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spans="1:38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spans="1:38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spans="1:38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spans="1:38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spans="1:38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spans="1:38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spans="1:38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spans="1:38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spans="1:38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spans="1:38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spans="1:38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spans="1:38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spans="1:38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spans="1:38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spans="1:38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spans="1:38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spans="1:38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spans="1:38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spans="1:38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spans="1:38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spans="1:38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spans="1:38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spans="1:38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spans="1:38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spans="1:38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spans="1:38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spans="1:38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spans="1:38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spans="1:38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spans="1:38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spans="1:38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spans="1:38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spans="1:38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spans="1:38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spans="1:38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spans="1:38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spans="1:38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spans="1:38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spans="1:38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spans="1:38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spans="1:38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spans="1:38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spans="1:38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spans="1:38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spans="1:38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spans="1:38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spans="1:38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spans="1:38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spans="1:38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spans="1:38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spans="1:38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spans="1:38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spans="1:38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spans="1:38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spans="1:38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spans="1:38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spans="1:38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spans="1:38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spans="1:38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spans="1:38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spans="1:38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spans="1:38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spans="1:38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spans="1:38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spans="1:38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spans="1:38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spans="1:38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spans="1:38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spans="1:38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spans="1:38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spans="1:38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spans="1:38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spans="1:38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spans="1:38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spans="1:38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spans="1:38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spans="1:38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spans="1:38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spans="1:38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spans="1:38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spans="1:38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spans="1:38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spans="1:38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spans="1:38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spans="1:38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spans="1:38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spans="1:38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spans="1:38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spans="1:38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spans="1:38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spans="1:38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spans="1:38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spans="1:38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spans="1:38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spans="1:38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spans="1:38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spans="1:38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spans="1:38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spans="1:38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spans="1:38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spans="1:38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spans="1:38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spans="1:38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spans="1:38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spans="1:38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spans="1:38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spans="1:38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spans="1:38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spans="1:38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spans="1:38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spans="1:38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spans="1:38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spans="1:38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spans="1:38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spans="1:38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spans="1:38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spans="1:38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spans="1:38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spans="1:38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spans="1:38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spans="1:38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spans="1:38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spans="1:38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spans="1:38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spans="1:38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spans="1:38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spans="1:38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spans="1:38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spans="1:38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spans="1:38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spans="1:38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spans="1:38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spans="1:38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spans="1:38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spans="1:38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spans="1:38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spans="1:38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spans="1:38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spans="1:38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spans="1:38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spans="1:38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spans="1:38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spans="1:38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spans="1:38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spans="1:38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spans="1:38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spans="1:38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spans="1:38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spans="1:38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spans="1:38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spans="1:38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spans="1:38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spans="1:38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spans="1:38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spans="1:38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spans="1:38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spans="1:38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spans="1:38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spans="1:38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spans="1:38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spans="1:38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spans="1:38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spans="1:38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spans="1:38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spans="1:38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spans="1:38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spans="1:38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spans="1:38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spans="1:38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spans="1:38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spans="1:38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spans="1:38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spans="1:38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spans="1:38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spans="1:38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spans="1:38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spans="1:38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spans="1:38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spans="1:38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spans="1:38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spans="1:38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spans="1:38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spans="1:38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spans="1:38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spans="1:38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spans="1:38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spans="1:38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spans="1:38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spans="1:38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spans="1:38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spans="1:38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spans="1:38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spans="1:38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spans="1:38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spans="1:38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spans="1:38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spans="1:38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spans="1:38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spans="1:38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spans="1:38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spans="1:38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spans="1:38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spans="1:38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spans="1:38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spans="1:38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spans="1:38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spans="1:38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spans="1:38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spans="1:38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spans="1:38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spans="1:38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spans="1:38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spans="1:38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spans="1:38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spans="1:38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spans="1:38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spans="1:38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spans="1:38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spans="1:38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spans="1:38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spans="1:38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spans="1:38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spans="1:38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spans="1:38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spans="1:38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spans="1:38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spans="1:38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spans="1:38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spans="1:38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spans="1:38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spans="1:38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spans="1:38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spans="1:38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spans="1:38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spans="1:38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spans="1:38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spans="1:38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spans="1:38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spans="1:38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spans="1:38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spans="1:38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spans="1:38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spans="1:38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spans="1:38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spans="1:38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spans="1:38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spans="1:38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spans="1:38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spans="1:38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spans="1:38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spans="1:38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spans="1:38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spans="1:38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spans="1:38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spans="1:38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spans="1:38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spans="1:38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spans="1:38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spans="1:38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spans="1:38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spans="1:38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spans="1:38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spans="1:38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spans="1:38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spans="1:38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spans="1:38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spans="1:38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spans="1:38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spans="1:38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spans="1:38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spans="1:38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spans="1:38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spans="1:38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spans="1:38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spans="1:38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spans="1:38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spans="1:38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spans="1:38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spans="1:38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spans="1:38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spans="1:38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spans="1:38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spans="1:38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spans="1:38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spans="1:38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spans="1:38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spans="1:38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spans="1:38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spans="1:38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spans="1:38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spans="1:38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spans="1:38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spans="1:38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spans="1:38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spans="1:38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spans="1:38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spans="1:38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spans="1:38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spans="1:38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spans="1:38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spans="1:38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spans="1:38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spans="1:38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spans="1:38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spans="1:38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spans="1:38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spans="1:38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spans="1:38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spans="1:38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spans="1:38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spans="1:38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spans="1:38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spans="1:38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spans="1:38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spans="1:38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spans="1:38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spans="1:38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spans="1:38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spans="1:38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spans="1:38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spans="1:38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spans="1:38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spans="1:38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spans="1:38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</sheetData>
  <sheetProtection selectLockedCells="1" autoFilter="0"/>
  <autoFilter ref="A1:Z6" xr:uid="{00000000-0001-0000-0200-000000000000}"/>
  <customSheetViews>
    <customSheetView guid="{0664A433-8342-47CF-996F-52A146D92FFA}" filter="1" showAutoFilter="1">
      <pageMargins left="0.7" right="0.7" top="0.75" bottom="0.75" header="0.3" footer="0.3"/>
      <autoFilter ref="A2:O220" xr:uid="{0AC23F08-DF8F-475E-BDFD-32A35CBB2071}"/>
      <extLst>
        <ext uri="GoogleSheetsCustomDataVersion1">
          <go:sheetsCustomData xmlns:go="http://customooxmlschemas.google.com/" filterViewId="1000674942"/>
        </ext>
      </extLst>
    </customSheetView>
    <customSheetView guid="{CE3CA79F-69BA-4F2C-8654-49489E9F990B}" filter="1" showAutoFilter="1">
      <pageMargins left="0.7" right="0.7" top="0.75" bottom="0.75" header="0.3" footer="0.3"/>
      <autoFilter ref="A49:U220" xr:uid="{A1A6FB75-8BE4-4437-A87C-0091FD8CF793}"/>
      <extLst>
        <ext uri="GoogleSheetsCustomDataVersion1">
          <go:sheetsCustomData xmlns:go="http://customooxmlschemas.google.com/" filterViewId="1002268913"/>
        </ext>
      </extLst>
    </customSheetView>
    <customSheetView guid="{7B5A7FEB-38C1-498D-A92D-CA397ABBAD58}" filter="1" showAutoFilter="1">
      <pageMargins left="0.7" right="0.7" top="0.75" bottom="0.75" header="0.3" footer="0.3"/>
      <autoFilter ref="A49:O220" xr:uid="{2FC89D30-0B09-4E65-9622-7C86955282AA}"/>
      <extLst>
        <ext uri="GoogleSheetsCustomDataVersion1">
          <go:sheetsCustomData xmlns:go="http://customooxmlschemas.google.com/" filterViewId="101112002"/>
        </ext>
      </extLst>
    </customSheetView>
    <customSheetView guid="{3118B097-E2D5-4853-9ECC-4F918F82032A}" filter="1" showAutoFilter="1">
      <pageMargins left="0.7" right="0.7" top="0.75" bottom="0.75" header="0.3" footer="0.3"/>
      <autoFilter ref="K1:L220" xr:uid="{11DF8268-143A-46C1-9C0B-62A41331F7A5}"/>
      <extLst>
        <ext uri="GoogleSheetsCustomDataVersion1">
          <go:sheetsCustomData xmlns:go="http://customooxmlschemas.google.com/" filterViewId="102679081"/>
        </ext>
      </extLst>
    </customSheetView>
    <customSheetView guid="{78CA7D74-30CA-41F1-880F-D684FB45076B}" filter="1" showAutoFilter="1">
      <pageMargins left="0.7" right="0.7" top="0.75" bottom="0.75" header="0.3" footer="0.3"/>
      <autoFilter ref="B57:B220" xr:uid="{BDA04EAB-A248-467A-BEFF-49F812C47149}"/>
      <extLst>
        <ext uri="GoogleSheetsCustomDataVersion1">
          <go:sheetsCustomData xmlns:go="http://customooxmlschemas.google.com/" filterViewId="103998665"/>
        </ext>
      </extLst>
    </customSheetView>
    <customSheetView guid="{995C7FF4-C7C2-4A76-ADCF-BBE4ED920ED4}" filter="1" showAutoFilter="1">
      <pageMargins left="0.7" right="0.7" top="0.75" bottom="0.75" header="0.3" footer="0.3"/>
      <autoFilter ref="A1:I220" xr:uid="{FE95E3BE-58B8-4CF1-A3DF-859D9C2420C0}"/>
      <extLst>
        <ext uri="GoogleSheetsCustomDataVersion1">
          <go:sheetsCustomData xmlns:go="http://customooxmlschemas.google.com/" filterViewId="1066334342"/>
        </ext>
      </extLst>
    </customSheetView>
    <customSheetView guid="{F104EDCA-16C9-4782-BD8E-4BA1260CBFFE}" filter="1" showAutoFilter="1">
      <pageMargins left="0.7" right="0.7" top="0.75" bottom="0.75" header="0.3" footer="0.3"/>
      <autoFilter ref="A2:O220" xr:uid="{502CA8C9-86FC-454D-BF0C-9F3F18734850}"/>
      <extLst>
        <ext uri="GoogleSheetsCustomDataVersion1">
          <go:sheetsCustomData xmlns:go="http://customooxmlschemas.google.com/" filterViewId="1082326745"/>
        </ext>
      </extLst>
    </customSheetView>
    <customSheetView guid="{26BE083E-F813-43CD-8080-176AC71EC6B1}" filter="1" showAutoFilter="1">
      <pageMargins left="0.7" right="0.7" top="0.75" bottom="0.75" header="0.3" footer="0.3"/>
      <autoFilter ref="A1:I170" xr:uid="{F68B07F3-2528-416F-A9F3-4089EEE16436}">
        <filterColumn colId="1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1089453212"/>
        </ext>
      </extLst>
    </customSheetView>
    <customSheetView guid="{5371A75B-87E1-4B09-A057-556485EA8892}" filter="1" showAutoFilter="1">
      <pageMargins left="0.7" right="0.7" top="0.75" bottom="0.75" header="0.3" footer="0.3"/>
      <autoFilter ref="A49:I220" xr:uid="{B14CA10F-4C2D-4242-BECF-4B2FD9087EC8}"/>
      <extLst>
        <ext uri="GoogleSheetsCustomDataVersion1">
          <go:sheetsCustomData xmlns:go="http://customooxmlschemas.google.com/" filterViewId="1097458951"/>
        </ext>
      </extLst>
    </customSheetView>
    <customSheetView guid="{114F6802-2197-4322-B73A-0FC23C08550B}" filter="1" showAutoFilter="1">
      <pageMargins left="0.7" right="0.7" top="0.75" bottom="0.75" header="0.3" footer="0.3"/>
      <autoFilter ref="A49:M220" xr:uid="{0DCE5C45-AA61-4C29-9C4E-FB6394F7ACAE}"/>
      <extLst>
        <ext uri="GoogleSheetsCustomDataVersion1">
          <go:sheetsCustomData xmlns:go="http://customooxmlschemas.google.com/" filterViewId="1129482273"/>
        </ext>
      </extLst>
    </customSheetView>
    <customSheetView guid="{1012F98C-3763-4EDE-B5D5-20FE546E5D46}" filter="1" showAutoFilter="1">
      <pageMargins left="0.7" right="0.7" top="0.75" bottom="0.75" header="0.3" footer="0.3"/>
      <autoFilter ref="A49:I220" xr:uid="{F4585D73-1416-4CAE-8C0E-3F23D7380212}"/>
      <extLst>
        <ext uri="GoogleSheetsCustomDataVersion1">
          <go:sheetsCustomData xmlns:go="http://customooxmlschemas.google.com/" filterViewId="1132069515"/>
        </ext>
      </extLst>
    </customSheetView>
    <customSheetView guid="{031DCFBF-D9DE-47C6-9728-A245B3E32D0E}" filter="1" showAutoFilter="1">
      <pageMargins left="0.7" right="0.7" top="0.75" bottom="0.75" header="0.3" footer="0.3"/>
      <autoFilter ref="A49:AA220" xr:uid="{9599056B-5CD3-42B5-8BFB-21F8E01E13F4}"/>
      <extLst>
        <ext uri="GoogleSheetsCustomDataVersion1">
          <go:sheetsCustomData xmlns:go="http://customooxmlschemas.google.com/" filterViewId="1149286130"/>
        </ext>
      </extLst>
    </customSheetView>
    <customSheetView guid="{15081274-07BD-4195-B8A0-FEF6F2D55112}" filter="1" showAutoFilter="1">
      <pageMargins left="0.7" right="0.7" top="0.75" bottom="0.75" header="0.3" footer="0.3"/>
      <autoFilter ref="Q49:V50" xr:uid="{FAADB8FC-E557-46B2-817D-0F264F96F98E}"/>
      <extLst>
        <ext uri="GoogleSheetsCustomDataVersion1">
          <go:sheetsCustomData xmlns:go="http://customooxmlschemas.google.com/" filterViewId="1150789596"/>
        </ext>
      </extLst>
    </customSheetView>
    <customSheetView guid="{7072D0E9-A8EB-4832-9DAA-09BCD4B1F142}" filter="1" showAutoFilter="1">
      <pageMargins left="0.7" right="0.7" top="0.75" bottom="0.75" header="0.3" footer="0.3"/>
      <autoFilter ref="A49:U220" xr:uid="{A583DA40-1307-48AC-8647-0224B4FD44C5}"/>
      <extLst>
        <ext uri="GoogleSheetsCustomDataVersion1">
          <go:sheetsCustomData xmlns:go="http://customooxmlschemas.google.com/" filterViewId="1196446551"/>
        </ext>
      </extLst>
    </customSheetView>
    <customSheetView guid="{A6288929-3BB3-40B5-902C-6E713599D7AE}" filter="1" showAutoFilter="1">
      <pageMargins left="0.7" right="0.7" top="0.75" bottom="0.75" header="0.3" footer="0.3"/>
      <autoFilter ref="A1:I220" xr:uid="{EBD35BEE-B5C2-4AF2-ADD3-D5735911CD14}">
        <filterColumn colId="1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1199576961"/>
        </ext>
      </extLst>
    </customSheetView>
    <customSheetView guid="{B29F5A3D-C1CC-4C01-9094-3ED83635FF7A}" filter="1" showAutoFilter="1">
      <pageMargins left="0.7" right="0.7" top="0.75" bottom="0.75" header="0.3" footer="0.3"/>
      <autoFilter ref="P49:P220" xr:uid="{AC517671-FB02-4A4D-9BFF-34CC00ED44C9}"/>
      <extLst>
        <ext uri="GoogleSheetsCustomDataVersion1">
          <go:sheetsCustomData xmlns:go="http://customooxmlschemas.google.com/" filterViewId="1207297510"/>
        </ext>
      </extLst>
    </customSheetView>
    <customSheetView guid="{276671E9-83F3-4274-8123-98123DFEA35E}" filter="1" showAutoFilter="1">
      <pageMargins left="0.7" right="0.7" top="0.75" bottom="0.75" header="0.3" footer="0.3"/>
      <autoFilter ref="A1:V220" xr:uid="{54521762-8D06-4404-A082-D25AA7F67658}">
        <filterColumn colId="1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1221110510"/>
        </ext>
      </extLst>
    </customSheetView>
    <customSheetView guid="{8C3FD059-87C2-4AB8-A9B1-8503339D2B25}" filter="1" showAutoFilter="1">
      <pageMargins left="0.7" right="0.7" top="0.75" bottom="0.75" header="0.3" footer="0.3"/>
      <autoFilter ref="A1:V220" xr:uid="{BB1D520B-E5A8-46A5-806E-733BFC65B391}">
        <filterColumn colId="1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1250005300"/>
        </ext>
      </extLst>
    </customSheetView>
    <customSheetView guid="{14B5872E-AC42-46F2-A978-C2125F6F2A00}" filter="1" showAutoFilter="1">
      <pageMargins left="0.7" right="0.7" top="0.75" bottom="0.75" header="0.3" footer="0.3"/>
      <autoFilter ref="A49:I220" xr:uid="{A5FBA1F5-5654-401F-B178-48D83A6C2CF7}"/>
      <extLst>
        <ext uri="GoogleSheetsCustomDataVersion1">
          <go:sheetsCustomData xmlns:go="http://customooxmlschemas.google.com/" filterViewId="1284504539"/>
        </ext>
      </extLst>
    </customSheetView>
    <customSheetView guid="{7268DF11-EDD6-4B5B-BEC2-3DBDCD87AE74}" filter="1" showAutoFilter="1">
      <pageMargins left="0.7" right="0.7" top="0.75" bottom="0.75" header="0.3" footer="0.3"/>
      <autoFilter ref="X53" xr:uid="{4532B07F-3120-4336-87E9-7981D38BF038}"/>
      <extLst>
        <ext uri="GoogleSheetsCustomDataVersion1">
          <go:sheetsCustomData xmlns:go="http://customooxmlschemas.google.com/" filterViewId="1285633499"/>
        </ext>
      </extLst>
    </customSheetView>
    <customSheetView guid="{181AD504-66D9-4767-A682-83F62E4814B8}" filter="1" showAutoFilter="1">
      <pageMargins left="0.7" right="0.7" top="0.75" bottom="0.75" header="0.3" footer="0.3"/>
      <autoFilter ref="A49:U220" xr:uid="{4D100CD2-900A-4F34-8180-0F3AE403D30C}"/>
      <extLst>
        <ext uri="GoogleSheetsCustomDataVersion1">
          <go:sheetsCustomData xmlns:go="http://customooxmlschemas.google.com/" filterViewId="1293281027"/>
        </ext>
      </extLst>
    </customSheetView>
    <customSheetView guid="{AF9F4FD4-CE6A-484A-BC37-B88B387A0E76}" filter="1" showAutoFilter="1">
      <pageMargins left="0.7" right="0.7" top="0.75" bottom="0.75" header="0.3" footer="0.3"/>
      <autoFilter ref="A49:I220" xr:uid="{5179DC4B-994E-45AA-B7DE-F2AC2E5EEA3D}"/>
      <extLst>
        <ext uri="GoogleSheetsCustomDataVersion1">
          <go:sheetsCustomData xmlns:go="http://customooxmlschemas.google.com/" filterViewId="1346823472"/>
        </ext>
      </extLst>
    </customSheetView>
    <customSheetView guid="{664F371B-425E-46AA-A6B6-0A01DAFDE9D6}" filter="1" showAutoFilter="1">
      <pageMargins left="0.7" right="0.7" top="0.75" bottom="0.75" header="0.3" footer="0.3"/>
      <autoFilter ref="A1:V220" xr:uid="{20DE2146-B667-455A-B41F-C29593611B98}"/>
      <extLst>
        <ext uri="GoogleSheetsCustomDataVersion1">
          <go:sheetsCustomData xmlns:go="http://customooxmlschemas.google.com/" filterViewId="1351437167"/>
        </ext>
      </extLst>
    </customSheetView>
    <customSheetView guid="{16E4E86E-1438-468A-A344-51769E38771E}" filter="1" showAutoFilter="1">
      <pageMargins left="0.7" right="0.7" top="0.75" bottom="0.75" header="0.3" footer="0.3"/>
      <autoFilter ref="A49:V220" xr:uid="{484638C4-6CA9-41C7-8E54-4332B10F4164}"/>
      <extLst>
        <ext uri="GoogleSheetsCustomDataVersion1">
          <go:sheetsCustomData xmlns:go="http://customooxmlschemas.google.com/" filterViewId="1372234398"/>
        </ext>
      </extLst>
    </customSheetView>
    <customSheetView guid="{CC605D33-8F51-41B7-B31E-1B663A0C1CB8}" filter="1" showAutoFilter="1">
      <pageMargins left="0.7" right="0.7" top="0.75" bottom="0.75" header="0.3" footer="0.3"/>
      <autoFilter ref="A49:U220" xr:uid="{711AC561-0CC7-4409-ADEE-8E37FE587A43}"/>
      <extLst>
        <ext uri="GoogleSheetsCustomDataVersion1">
          <go:sheetsCustomData xmlns:go="http://customooxmlschemas.google.com/" filterViewId="1373548850"/>
        </ext>
      </extLst>
    </customSheetView>
    <customSheetView guid="{F56FB6B3-F666-4AA5-BA7D-7DC37E308C2C}" filter="1" showAutoFilter="1">
      <pageMargins left="0.7" right="0.7" top="0.75" bottom="0.75" header="0.3" footer="0.3"/>
      <autoFilter ref="A49:M220" xr:uid="{52A95DD1-9743-43CC-833F-03BDEB4ECD86}"/>
      <extLst>
        <ext uri="GoogleSheetsCustomDataVersion1">
          <go:sheetsCustomData xmlns:go="http://customooxmlschemas.google.com/" filterViewId="137444192"/>
        </ext>
      </extLst>
    </customSheetView>
    <customSheetView guid="{16F4301D-B836-42F7-8020-2803956B914A}" filter="1" showAutoFilter="1">
      <pageMargins left="0.7" right="0.7" top="0.75" bottom="0.75" header="0.3" footer="0.3"/>
      <autoFilter ref="A49:I220" xr:uid="{666996DC-FD99-48C1-AEDC-89CA2482049A}"/>
      <extLst>
        <ext uri="GoogleSheetsCustomDataVersion1">
          <go:sheetsCustomData xmlns:go="http://customooxmlschemas.google.com/" filterViewId="1393621529"/>
        </ext>
      </extLst>
    </customSheetView>
    <customSheetView guid="{BF854CA7-F810-481B-96CA-127EB201C988}" filter="1" showAutoFilter="1">
      <pageMargins left="0.7" right="0.7" top="0.75" bottom="0.75" header="0.3" footer="0.3"/>
      <autoFilter ref="A2:O220" xr:uid="{47ADF58C-5D7C-4B3D-A555-66B53570DF1A}"/>
      <extLst>
        <ext uri="GoogleSheetsCustomDataVersion1">
          <go:sheetsCustomData xmlns:go="http://customooxmlschemas.google.com/" filterViewId="1398506678"/>
        </ext>
      </extLst>
    </customSheetView>
    <customSheetView guid="{AE630A8F-EC20-43C5-8552-981385AA5F99}" filter="1" showAutoFilter="1">
      <pageMargins left="0.7" right="0.7" top="0.75" bottom="0.75" header="0.3" footer="0.3"/>
      <autoFilter ref="A49:M220" xr:uid="{79D2872D-5D67-4F26-BF6E-7E803C1621EE}"/>
      <extLst>
        <ext uri="GoogleSheetsCustomDataVersion1">
          <go:sheetsCustomData xmlns:go="http://customooxmlschemas.google.com/" filterViewId="1403176320"/>
        </ext>
      </extLst>
    </customSheetView>
    <customSheetView guid="{C798109D-4604-4BCB-A03A-1A0B5730EEEA}" filter="1" showAutoFilter="1">
      <pageMargins left="0.7" right="0.7" top="0.75" bottom="0.75" header="0.3" footer="0.3"/>
      <autoFilter ref="A1:I220" xr:uid="{F6294BF3-32E4-48DD-89B5-00F21FB9D29C}"/>
      <extLst>
        <ext uri="GoogleSheetsCustomDataVersion1">
          <go:sheetsCustomData xmlns:go="http://customooxmlschemas.google.com/" filterViewId="1409559527"/>
        </ext>
      </extLst>
    </customSheetView>
    <customSheetView guid="{207366EA-06E5-4A7A-A8D5-930D94B44938}" filter="1" showAutoFilter="1">
      <pageMargins left="0.7" right="0.7" top="0.75" bottom="0.75" header="0.3" footer="0.3"/>
      <autoFilter ref="A1:V220" xr:uid="{37A378E2-C283-4ABB-869B-9362810FE115}"/>
      <extLst>
        <ext uri="GoogleSheetsCustomDataVersion1">
          <go:sheetsCustomData xmlns:go="http://customooxmlschemas.google.com/" filterViewId="1415388224"/>
        </ext>
      </extLst>
    </customSheetView>
    <customSheetView guid="{35895A84-4FC6-4B15-A2A8-F8E79622C3D5}" filter="1" showAutoFilter="1">
      <pageMargins left="0.7" right="0.7" top="0.75" bottom="0.75" header="0.3" footer="0.3"/>
      <autoFilter ref="A1:V220" xr:uid="{380B095A-072E-40EF-8970-2DE9FF2E6A5A}">
        <filterColumn colId="1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1424353979"/>
        </ext>
      </extLst>
    </customSheetView>
    <customSheetView guid="{F5B0A4A1-1151-497C-8044-D5F67182BB6B}" filter="1" showAutoFilter="1">
      <pageMargins left="0.7" right="0.7" top="0.75" bottom="0.75" header="0.3" footer="0.3"/>
      <autoFilter ref="B57:B220" xr:uid="{C11DA2F2-DAE5-4706-9E0E-99A73323B6E7}"/>
      <extLst>
        <ext uri="GoogleSheetsCustomDataVersion1">
          <go:sheetsCustomData xmlns:go="http://customooxmlschemas.google.com/" filterViewId="1433341409"/>
        </ext>
      </extLst>
    </customSheetView>
    <customSheetView guid="{415177D4-69C6-49B2-AC44-16824A0261AD}" filter="1" showAutoFilter="1">
      <pageMargins left="0.7" right="0.7" top="0.75" bottom="0.75" header="0.3" footer="0.3"/>
      <autoFilter ref="A1:I220" xr:uid="{6E2DF322-6321-4FD7-8B05-15AD1C542E2B}"/>
      <extLst>
        <ext uri="GoogleSheetsCustomDataVersion1">
          <go:sheetsCustomData xmlns:go="http://customooxmlschemas.google.com/" filterViewId="1435192497"/>
        </ext>
      </extLst>
    </customSheetView>
    <customSheetView guid="{4693FF95-89F1-49D1-A143-D590B5504BB9}" filter="1" showAutoFilter="1">
      <pageMargins left="0.7" right="0.7" top="0.75" bottom="0.75" header="0.3" footer="0.3"/>
      <autoFilter ref="A1:V220" xr:uid="{62A6D55E-E613-490C-B462-613F930B1BEE}">
        <filterColumn colId="1">
          <filters>
            <filter val="Listado de Incidencias de la Revisión Funcional y Técnicas - Sistema GESTIÓN DE UBIGEO"/>
          </filters>
        </filterColumn>
        <filterColumn colId="5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1468966608"/>
        </ext>
      </extLst>
    </customSheetView>
    <customSheetView guid="{D8B6EA5F-A187-41FE-BB79-4E0A24DC82A6}" filter="1" showAutoFilter="1">
      <pageMargins left="0.7" right="0.7" top="0.75" bottom="0.75" header="0.3" footer="0.3"/>
      <autoFilter ref="A1:V220" xr:uid="{AD18B257-384B-4220-B3D0-4C5A3B80C6EB}"/>
      <extLst>
        <ext uri="GoogleSheetsCustomDataVersion1">
          <go:sheetsCustomData xmlns:go="http://customooxmlschemas.google.com/" filterViewId="1472013984"/>
        </ext>
      </extLst>
    </customSheetView>
    <customSheetView guid="{E04BCF6F-DFDA-4386-A429-D8C54A0A8221}" filter="1" showAutoFilter="1">
      <pageMargins left="0.7" right="0.7" top="0.75" bottom="0.75" header="0.3" footer="0.3"/>
      <autoFilter ref="A49:I220" xr:uid="{B6D113E3-9EEB-401F-B4CC-EC3810BB7BCB}"/>
      <extLst>
        <ext uri="GoogleSheetsCustomDataVersion1">
          <go:sheetsCustomData xmlns:go="http://customooxmlschemas.google.com/" filterViewId="1472326179"/>
        </ext>
      </extLst>
    </customSheetView>
    <customSheetView guid="{BB3A72A8-536B-4CEE-983B-3B1064B08189}" filter="1" showAutoFilter="1">
      <pageMargins left="0.7" right="0.7" top="0.75" bottom="0.75" header="0.3" footer="0.3"/>
      <autoFilter ref="M49:M53" xr:uid="{5FDCE351-9FCA-41F4-A0E6-8FB3DC36388B}"/>
      <extLst>
        <ext uri="GoogleSheetsCustomDataVersion1">
          <go:sheetsCustomData xmlns:go="http://customooxmlschemas.google.com/" filterViewId="1473432893"/>
        </ext>
      </extLst>
    </customSheetView>
    <customSheetView guid="{E420F5C5-FA1C-45D4-85B1-40E41CD771D9}" filter="1" showAutoFilter="1">
      <pageMargins left="0.7" right="0.7" top="0.75" bottom="0.75" header="0.3" footer="0.3"/>
      <autoFilter ref="A49:J220" xr:uid="{97D48E5F-3082-46EE-BE36-474C2AB4BB2C}"/>
      <extLst>
        <ext uri="GoogleSheetsCustomDataVersion1">
          <go:sheetsCustomData xmlns:go="http://customooxmlschemas.google.com/" filterViewId="1485606563"/>
        </ext>
      </extLst>
    </customSheetView>
    <customSheetView guid="{75DACD84-E730-4FC8-9D84-6613B9F79DE4}" filter="1" showAutoFilter="1">
      <pageMargins left="0.7" right="0.7" top="0.75" bottom="0.75" header="0.3" footer="0.3"/>
      <autoFilter ref="A49:I220" xr:uid="{9DE2D3A6-7BC7-49FF-B599-3E15F35129D7}"/>
      <extLst>
        <ext uri="GoogleSheetsCustomDataVersion1">
          <go:sheetsCustomData xmlns:go="http://customooxmlschemas.google.com/" filterViewId="1509262231"/>
        </ext>
      </extLst>
    </customSheetView>
    <customSheetView guid="{1E107AD8-4A76-44CE-A9E1-AC0B663F3D7A}" filter="1" showAutoFilter="1">
      <pageMargins left="0.7" right="0.7" top="0.75" bottom="0.75" header="0.3" footer="0.3"/>
      <autoFilter ref="A49:M220" xr:uid="{02300CFE-119C-4629-8B5E-CD9122E84BCE}"/>
      <extLst>
        <ext uri="GoogleSheetsCustomDataVersion1">
          <go:sheetsCustomData xmlns:go="http://customooxmlschemas.google.com/" filterViewId="1512304757"/>
        </ext>
      </extLst>
    </customSheetView>
    <customSheetView guid="{0D6C0055-A8FD-46C4-B2B7-CE5CC0B77CA1}" filter="1" showAutoFilter="1">
      <pageMargins left="0.7" right="0.7" top="0.75" bottom="0.75" header="0.3" footer="0.3"/>
      <autoFilter ref="A49:V220" xr:uid="{94E8EFAF-7903-4C53-9D38-7B93E7071BFF}"/>
      <extLst>
        <ext uri="GoogleSheetsCustomDataVersion1">
          <go:sheetsCustomData xmlns:go="http://customooxmlschemas.google.com/" filterViewId="1515271626"/>
        </ext>
      </extLst>
    </customSheetView>
    <customSheetView guid="{D01923C6-A7EE-408C-833F-D29461704E70}" filter="1" showAutoFilter="1">
      <pageMargins left="0.7" right="0.7" top="0.75" bottom="0.75" header="0.3" footer="0.3"/>
      <autoFilter ref="P220" xr:uid="{B82EC39F-F419-4F65-9F9F-2A33D83CD414}"/>
      <extLst>
        <ext uri="GoogleSheetsCustomDataVersion1">
          <go:sheetsCustomData xmlns:go="http://customooxmlschemas.google.com/" filterViewId="1520596067"/>
        </ext>
      </extLst>
    </customSheetView>
    <customSheetView guid="{399CA99F-CCAB-41B7-A86F-4A8915850AD8}" filter="1" showAutoFilter="1">
      <pageMargins left="0.7" right="0.7" top="0.75" bottom="0.75" header="0.3" footer="0.3"/>
      <autoFilter ref="K1:L220" xr:uid="{33CD2BB4-D86C-4017-94A9-942CFE3A04E2}"/>
      <extLst>
        <ext uri="GoogleSheetsCustomDataVersion1">
          <go:sheetsCustomData xmlns:go="http://customooxmlschemas.google.com/" filterViewId="1539962931"/>
        </ext>
      </extLst>
    </customSheetView>
    <customSheetView guid="{B5E4F1A3-A1CE-4A78-A686-68FB57442A81}" filter="1" showAutoFilter="1">
      <pageMargins left="0.7" right="0.7" top="0.75" bottom="0.75" header="0.3" footer="0.3"/>
      <autoFilter ref="A1:V220" xr:uid="{564FA09B-82C4-47C5-8D80-FD5388B844E8}"/>
      <extLst>
        <ext uri="GoogleSheetsCustomDataVersion1">
          <go:sheetsCustomData xmlns:go="http://customooxmlschemas.google.com/" filterViewId="1562338037"/>
        </ext>
      </extLst>
    </customSheetView>
    <customSheetView guid="{C70E7553-7B63-426F-B13E-9BC43B57B462}" filter="1" showAutoFilter="1">
      <pageMargins left="0.7" right="0.7" top="0.75" bottom="0.75" header="0.3" footer="0.3"/>
      <autoFilter ref="A1:I220" xr:uid="{725CFEC1-3B74-4135-8C23-9429495616FE}">
        <filterColumn colId="1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1562543755"/>
        </ext>
      </extLst>
    </customSheetView>
    <customSheetView guid="{1187F710-8C93-4B53-A6DF-7457530643E4}" filter="1" showAutoFilter="1">
      <pageMargins left="0.7" right="0.7" top="0.75" bottom="0.75" header="0.3" footer="0.3"/>
      <autoFilter ref="A49:M220" xr:uid="{7A60C4BF-1E8C-4DFD-8869-B79D8BCEF018}"/>
      <extLst>
        <ext uri="GoogleSheetsCustomDataVersion1">
          <go:sheetsCustomData xmlns:go="http://customooxmlschemas.google.com/" filterViewId="15636484"/>
        </ext>
      </extLst>
    </customSheetView>
    <customSheetView guid="{B4306AB6-087F-4D43-854C-29674B567631}" filter="1" showAutoFilter="1">
      <pageMargins left="0.7" right="0.7" top="0.75" bottom="0.75" header="0.3" footer="0.3"/>
      <autoFilter ref="A49:V220" xr:uid="{58BD64C2-0899-4541-916A-7DC45F33A10B}"/>
      <extLst>
        <ext uri="GoogleSheetsCustomDataVersion1">
          <go:sheetsCustomData xmlns:go="http://customooxmlschemas.google.com/" filterViewId="1596391296"/>
        </ext>
      </extLst>
    </customSheetView>
    <customSheetView guid="{7B675507-1C76-4C97-874C-76A779B09CAB}" filter="1" showAutoFilter="1">
      <pageMargins left="0.7" right="0.7" top="0.75" bottom="0.75" header="0.3" footer="0.3"/>
      <autoFilter ref="A49:O220" xr:uid="{35EBC321-26E4-4BFE-B447-9C4072FE5C3E}"/>
      <extLst>
        <ext uri="GoogleSheetsCustomDataVersion1">
          <go:sheetsCustomData xmlns:go="http://customooxmlschemas.google.com/" filterViewId="1622507013"/>
        </ext>
      </extLst>
    </customSheetView>
    <customSheetView guid="{9CEF5B33-7819-45EA-942F-F973A16B062D}" filter="1" showAutoFilter="1">
      <pageMargins left="0.7" right="0.7" top="0.75" bottom="0.75" header="0.3" footer="0.3"/>
      <autoFilter ref="A49:I220" xr:uid="{4DE8D24F-1E9A-4B43-9D31-E31418E2AC3C}"/>
      <extLst>
        <ext uri="GoogleSheetsCustomDataVersion1">
          <go:sheetsCustomData xmlns:go="http://customooxmlschemas.google.com/" filterViewId="1636123639"/>
        </ext>
      </extLst>
    </customSheetView>
    <customSheetView guid="{C45F2CFE-D13D-411A-9969-62D37A4E659F}" filter="1" showAutoFilter="1">
      <pageMargins left="0.7" right="0.7" top="0.75" bottom="0.75" header="0.3" footer="0.3"/>
      <autoFilter ref="A49:M220" xr:uid="{7881BA75-0F85-4C1A-999A-A9C9EE540035}"/>
      <extLst>
        <ext uri="GoogleSheetsCustomDataVersion1">
          <go:sheetsCustomData xmlns:go="http://customooxmlschemas.google.com/" filterViewId="1649622973"/>
        </ext>
      </extLst>
    </customSheetView>
    <customSheetView guid="{D244C322-20DC-49ED-91F3-CD1DE6B82879}" filter="1" showAutoFilter="1">
      <pageMargins left="0.7" right="0.7" top="0.75" bottom="0.75" header="0.3" footer="0.3"/>
      <autoFilter ref="A49:I220" xr:uid="{AAF3E407-21E1-44E0-810D-BB560F9CAFDB}"/>
      <extLst>
        <ext uri="GoogleSheetsCustomDataVersion1">
          <go:sheetsCustomData xmlns:go="http://customooxmlschemas.google.com/" filterViewId="1679218736"/>
        </ext>
      </extLst>
    </customSheetView>
    <customSheetView guid="{D64303A7-008D-42DE-93C7-A25CF311B806}" filter="1" showAutoFilter="1">
      <pageMargins left="0.7" right="0.7" top="0.75" bottom="0.75" header="0.3" footer="0.3"/>
      <autoFilter ref="A2:O220" xr:uid="{07C3524F-37E1-47A1-9D0C-DE9CF609ED74}"/>
      <extLst>
        <ext uri="GoogleSheetsCustomDataVersion1">
          <go:sheetsCustomData xmlns:go="http://customooxmlschemas.google.com/" filterViewId="1708648800"/>
        </ext>
      </extLst>
    </customSheetView>
    <customSheetView guid="{636C691A-F644-47E2-8555-F838B7CB08FD}" filter="1" showAutoFilter="1">
      <pageMargins left="0.7" right="0.7" top="0.75" bottom="0.75" header="0.3" footer="0.3"/>
      <autoFilter ref="A49:AA220" xr:uid="{849B3F0A-D6C7-4322-B7F1-47F2D08620C2}"/>
      <extLst>
        <ext uri="GoogleSheetsCustomDataVersion1">
          <go:sheetsCustomData xmlns:go="http://customooxmlschemas.google.com/" filterViewId="1709642649"/>
        </ext>
      </extLst>
    </customSheetView>
    <customSheetView guid="{C6442E6F-776E-4212-847E-94DFDDF97E9C}" filter="1" showAutoFilter="1">
      <pageMargins left="0.7" right="0.7" top="0.75" bottom="0.75" header="0.3" footer="0.3"/>
      <autoFilter ref="A49:AA220" xr:uid="{C5ED8383-2364-4AAE-9F5D-FA1856916F95}"/>
      <extLst>
        <ext uri="GoogleSheetsCustomDataVersion1">
          <go:sheetsCustomData xmlns:go="http://customooxmlschemas.google.com/" filterViewId="1716615567"/>
        </ext>
      </extLst>
    </customSheetView>
    <customSheetView guid="{D032A9DB-4E25-40E7-ADF5-F6638E51FAFB}" filter="1" showAutoFilter="1">
      <pageMargins left="0.7" right="0.7" top="0.75" bottom="0.75" header="0.3" footer="0.3"/>
      <autoFilter ref="A49:M220" xr:uid="{36DB1EEC-5C47-4FB6-876D-111FFF9A87F1}"/>
      <extLst>
        <ext uri="GoogleSheetsCustomDataVersion1">
          <go:sheetsCustomData xmlns:go="http://customooxmlschemas.google.com/" filterViewId="1734251948"/>
        </ext>
      </extLst>
    </customSheetView>
    <customSheetView guid="{C2A4986B-5443-45E6-8E03-D7BBADA51C58}" filter="1" showAutoFilter="1">
      <pageMargins left="0.7" right="0.7" top="0.75" bottom="0.75" header="0.3" footer="0.3"/>
      <autoFilter ref="A1:V220" xr:uid="{55EE958A-A279-494A-8DED-0AB420BF43A8}"/>
      <extLst>
        <ext uri="GoogleSheetsCustomDataVersion1">
          <go:sheetsCustomData xmlns:go="http://customooxmlschemas.google.com/" filterViewId="1767692522"/>
        </ext>
      </extLst>
    </customSheetView>
    <customSheetView guid="{21D3ABEC-E9B8-4B9E-B21F-3A1E35E59296}" filter="1" showAutoFilter="1">
      <pageMargins left="0.7" right="0.7" top="0.75" bottom="0.75" header="0.3" footer="0.3"/>
      <autoFilter ref="A2:O220" xr:uid="{B8F71DD2-C3F1-49F5-A296-1BC17AD79D2A}"/>
      <extLst>
        <ext uri="GoogleSheetsCustomDataVersion1">
          <go:sheetsCustomData xmlns:go="http://customooxmlschemas.google.com/" filterViewId="1781507866"/>
        </ext>
      </extLst>
    </customSheetView>
    <customSheetView guid="{D84CEC73-EE9D-4C60-BD3C-7ADE6B8942A3}" filter="1" showAutoFilter="1">
      <pageMargins left="0.7" right="0.7" top="0.75" bottom="0.75" header="0.3" footer="0.3"/>
      <autoFilter ref="A2:O220" xr:uid="{C9D8B341-2CB6-426D-9355-BFD61FC1A0E6}"/>
      <extLst>
        <ext uri="GoogleSheetsCustomDataVersion1">
          <go:sheetsCustomData xmlns:go="http://customooxmlschemas.google.com/" filterViewId="1797673786"/>
        </ext>
      </extLst>
    </customSheetView>
    <customSheetView guid="{3CF00FDE-7551-417F-A3B7-071FB8CAD5A6}" filter="1" showAutoFilter="1">
      <pageMargins left="0.7" right="0.7" top="0.75" bottom="0.75" header="0.3" footer="0.3"/>
      <autoFilter ref="A49:I220" xr:uid="{3641903A-1D86-4944-8D0E-0FCF26F3FD02}"/>
      <extLst>
        <ext uri="GoogleSheetsCustomDataVersion1">
          <go:sheetsCustomData xmlns:go="http://customooxmlschemas.google.com/" filterViewId="1801369949"/>
        </ext>
      </extLst>
    </customSheetView>
    <customSheetView guid="{CBE06436-1786-4100-8240-33A03D6341BB}" filter="1" showAutoFilter="1">
      <pageMargins left="0.7" right="0.7" top="0.75" bottom="0.75" header="0.3" footer="0.3"/>
      <autoFilter ref="A1:V220" xr:uid="{E7705780-2EFE-4BD7-BBD8-B409E6B9328B}">
        <filterColumn colId="1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1832344893"/>
        </ext>
      </extLst>
    </customSheetView>
    <customSheetView guid="{1A78E216-AD46-44A0-9060-262F73619572}" filter="1" showAutoFilter="1">
      <pageMargins left="0.7" right="0.7" top="0.75" bottom="0.75" header="0.3" footer="0.3"/>
      <autoFilter ref="A49:I220" xr:uid="{45B253F9-880C-4551-A27B-C5B948834836}"/>
      <extLst>
        <ext uri="GoogleSheetsCustomDataVersion1">
          <go:sheetsCustomData xmlns:go="http://customooxmlschemas.google.com/" filterViewId="1837248367"/>
        </ext>
      </extLst>
    </customSheetView>
    <customSheetView guid="{4E5EDA9F-A36F-445A-886D-3EEAB87FECC8}" filter="1" showAutoFilter="1">
      <pageMargins left="0.7" right="0.7" top="0.75" bottom="0.75" header="0.3" footer="0.3"/>
      <autoFilter ref="A49:M187" xr:uid="{5B41AFFB-DEE4-42FB-8D96-663A8D81045C}"/>
      <extLst>
        <ext uri="GoogleSheetsCustomDataVersion1">
          <go:sheetsCustomData xmlns:go="http://customooxmlschemas.google.com/" filterViewId="185919351"/>
        </ext>
      </extLst>
    </customSheetView>
    <customSheetView guid="{9F75FFB3-F1FD-4974-A8B3-7EA947D02A33}" filter="1" showAutoFilter="1">
      <pageMargins left="0.7" right="0.7" top="0.75" bottom="0.75" header="0.3" footer="0.3"/>
      <autoFilter ref="A49:O220" xr:uid="{09BAA917-1CB9-4A68-9A74-E7D8CCEDFB8E}"/>
      <extLst>
        <ext uri="GoogleSheetsCustomDataVersion1">
          <go:sheetsCustomData xmlns:go="http://customooxmlschemas.google.com/" filterViewId="1879702675"/>
        </ext>
      </extLst>
    </customSheetView>
    <customSheetView guid="{BFAD60BA-8618-4F78-92CE-83AE13F01A3B}" filter="1" showAutoFilter="1">
      <pageMargins left="0.7" right="0.7" top="0.75" bottom="0.75" header="0.3" footer="0.3"/>
      <autoFilter ref="A1:V220" xr:uid="{A1EAB854-5003-4EFC-B010-A8FD96DC4861}"/>
      <extLst>
        <ext uri="GoogleSheetsCustomDataVersion1">
          <go:sheetsCustomData xmlns:go="http://customooxmlschemas.google.com/" filterViewId="187998180"/>
        </ext>
      </extLst>
    </customSheetView>
    <customSheetView guid="{61093876-A7FA-4A91-B12D-271A029B9412}" filter="1" showAutoFilter="1">
      <pageMargins left="0.7" right="0.7" top="0.75" bottom="0.75" header="0.3" footer="0.3"/>
      <autoFilter ref="A49:U220" xr:uid="{016218AB-B9B3-4956-826A-B0E5BE338AC2}"/>
      <extLst>
        <ext uri="GoogleSheetsCustomDataVersion1">
          <go:sheetsCustomData xmlns:go="http://customooxmlschemas.google.com/" filterViewId="189340747"/>
        </ext>
      </extLst>
    </customSheetView>
    <customSheetView guid="{941495F1-D6A5-472F-BEB0-6902BA9F7689}" filter="1" showAutoFilter="1">
      <pageMargins left="0.7" right="0.7" top="0.75" bottom="0.75" header="0.3" footer="0.3"/>
      <autoFilter ref="R3:V20" xr:uid="{BF7357F8-EFFC-427C-8A60-25559E85CB37}"/>
      <extLst>
        <ext uri="GoogleSheetsCustomDataVersion1">
          <go:sheetsCustomData xmlns:go="http://customooxmlschemas.google.com/" filterViewId="1895617895"/>
        </ext>
      </extLst>
    </customSheetView>
    <customSheetView guid="{AC42C643-2221-4965-AFA1-3F2281718069}" filter="1" showAutoFilter="1">
      <pageMargins left="0.7" right="0.7" top="0.75" bottom="0.75" header="0.3" footer="0.3"/>
      <autoFilter ref="A49:O220" xr:uid="{A8D7C1EA-1D74-4BD8-A476-B14C1173F4CA}"/>
      <extLst>
        <ext uri="GoogleSheetsCustomDataVersion1">
          <go:sheetsCustomData xmlns:go="http://customooxmlschemas.google.com/" filterViewId="1905388939"/>
        </ext>
      </extLst>
    </customSheetView>
    <customSheetView guid="{022B7002-BF2C-467C-94C6-2F4B1957B723}" filter="1" showAutoFilter="1">
      <pageMargins left="0.7" right="0.7" top="0.75" bottom="0.75" header="0.3" footer="0.3"/>
      <autoFilter ref="A1:V220" xr:uid="{55A89369-3CAB-4255-B91A-985234EDEB6F}"/>
      <extLst>
        <ext uri="GoogleSheetsCustomDataVersion1">
          <go:sheetsCustomData xmlns:go="http://customooxmlschemas.google.com/" filterViewId="1922461570"/>
        </ext>
      </extLst>
    </customSheetView>
    <customSheetView guid="{7187F25A-3EAF-42F1-AF8C-E58536792040}" filter="1" showAutoFilter="1">
      <pageMargins left="0.7" right="0.7" top="0.75" bottom="0.75" header="0.3" footer="0.3"/>
      <autoFilter ref="A49:AA220" xr:uid="{7514A535-C2CA-4CBA-8A56-20DF16C5A32A}"/>
      <extLst>
        <ext uri="GoogleSheetsCustomDataVersion1">
          <go:sheetsCustomData xmlns:go="http://customooxmlschemas.google.com/" filterViewId="1922798539"/>
        </ext>
      </extLst>
    </customSheetView>
    <customSheetView guid="{BE65F6DD-399B-428E-BB3F-BCC96056DA57}" filter="1" showAutoFilter="1">
      <pageMargins left="0.7" right="0.7" top="0.75" bottom="0.75" header="0.3" footer="0.3"/>
      <autoFilter ref="A49:AA220" xr:uid="{A18FB0B9-A8FD-4591-B981-02F6539817C6}"/>
      <extLst>
        <ext uri="GoogleSheetsCustomDataVersion1">
          <go:sheetsCustomData xmlns:go="http://customooxmlschemas.google.com/" filterViewId="1934378667"/>
        </ext>
      </extLst>
    </customSheetView>
    <customSheetView guid="{B98AFEF4-BC2B-43A3-A2BA-F6114E6C2754}" filter="1" showAutoFilter="1">
      <pageMargins left="0.7" right="0.7" top="0.75" bottom="0.75" header="0.3" footer="0.3"/>
      <autoFilter ref="A49:M220" xr:uid="{7ED5F02F-D1D1-4EF6-BE52-909CE8264863}"/>
      <extLst>
        <ext uri="GoogleSheetsCustomDataVersion1">
          <go:sheetsCustomData xmlns:go="http://customooxmlschemas.google.com/" filterViewId="194767888"/>
        </ext>
      </extLst>
    </customSheetView>
    <customSheetView guid="{82E21F95-1658-417F-B1CA-2512C9DA8B72}" filter="1" showAutoFilter="1">
      <pageMargins left="0.7" right="0.7" top="0.75" bottom="0.75" header="0.3" footer="0.3"/>
      <autoFilter ref="A49:O220" xr:uid="{8BF66652-EE78-4875-9CE4-ED51EC3510DB}"/>
      <extLst>
        <ext uri="GoogleSheetsCustomDataVersion1">
          <go:sheetsCustomData xmlns:go="http://customooxmlschemas.google.com/" filterViewId="1952460655"/>
        </ext>
      </extLst>
    </customSheetView>
    <customSheetView guid="{FAEF2C7F-3C68-45C7-AFF8-3A03981A467E}" filter="1" showAutoFilter="1">
      <pageMargins left="0.7" right="0.7" top="0.75" bottom="0.75" header="0.3" footer="0.3"/>
      <autoFilter ref="A1:AA220" xr:uid="{EBBAA17C-8B47-4C5C-B003-31039AC7AB2B}"/>
      <extLst>
        <ext uri="GoogleSheetsCustomDataVersion1">
          <go:sheetsCustomData xmlns:go="http://customooxmlschemas.google.com/" filterViewId="1970561399"/>
        </ext>
      </extLst>
    </customSheetView>
    <customSheetView guid="{C64B538E-0962-4D5E-86E4-16DF91F67BB6}" filter="1" showAutoFilter="1">
      <pageMargins left="0.7" right="0.7" top="0.75" bottom="0.75" header="0.3" footer="0.3"/>
      <autoFilter ref="A1:V220" xr:uid="{E46F236D-C881-40CC-99CF-238A00C9C399}"/>
      <extLst>
        <ext uri="GoogleSheetsCustomDataVersion1">
          <go:sheetsCustomData xmlns:go="http://customooxmlschemas.google.com/" filterViewId="1983349160"/>
        </ext>
      </extLst>
    </customSheetView>
    <customSheetView guid="{46F690DE-B704-4543-ADDC-843710AE2022}" filter="1" showAutoFilter="1">
      <pageMargins left="0.7" right="0.7" top="0.75" bottom="0.75" header="0.3" footer="0.3"/>
      <autoFilter ref="A2:O220" xr:uid="{7102F2A9-E2E8-47FA-AF61-6BEBB7CC0485}"/>
      <extLst>
        <ext uri="GoogleSheetsCustomDataVersion1">
          <go:sheetsCustomData xmlns:go="http://customooxmlschemas.google.com/" filterViewId="198811509"/>
        </ext>
      </extLst>
    </customSheetView>
    <customSheetView guid="{F9DE771A-18A2-4404-962B-2DD44CB4E30D}" filter="1" showAutoFilter="1">
      <pageMargins left="0.7" right="0.7" top="0.75" bottom="0.75" header="0.3" footer="0.3"/>
      <autoFilter ref="A49:J63" xr:uid="{37875854-46B3-4317-BF46-D0A045EA53BD}"/>
      <extLst>
        <ext uri="GoogleSheetsCustomDataVersion1">
          <go:sheetsCustomData xmlns:go="http://customooxmlschemas.google.com/" filterViewId="2044742350"/>
        </ext>
      </extLst>
    </customSheetView>
    <customSheetView guid="{971C5F02-9B1E-485C-B1A9-90404A374CF4}" filter="1" showAutoFilter="1">
      <pageMargins left="0.7" right="0.7" top="0.75" bottom="0.75" header="0.3" footer="0.3"/>
      <autoFilter ref="A49:I220" xr:uid="{51FFBC76-8DBF-45C9-BFD2-98CC5984F759}"/>
      <extLst>
        <ext uri="GoogleSheetsCustomDataVersion1">
          <go:sheetsCustomData xmlns:go="http://customooxmlschemas.google.com/" filterViewId="2045357579"/>
        </ext>
      </extLst>
    </customSheetView>
    <customSheetView guid="{BE65F6DD-399B-428E-BB3F-BCC96056DA57}" filter="1" showAutoFilter="1">
      <pageMargins left="0.7" right="0.7" top="0.75" bottom="0.75" header="0.3" footer="0.3"/>
      <autoFilter ref="A1:AA220" xr:uid="{1F39CFBF-AD18-4E55-8162-B3E23A753F3D}">
        <filterColumn colId="5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205196111"/>
        </ext>
      </extLst>
    </customSheetView>
    <customSheetView guid="{3785B557-4AE9-4AF6-A2C2-13FE9E0136EA}" filter="1" showAutoFilter="1">
      <pageMargins left="0.7" right="0.7" top="0.75" bottom="0.75" header="0.3" footer="0.3"/>
      <autoFilter ref="A1:AA220" xr:uid="{70BEA058-5982-41B2-AB0E-7E0D454D4E7A}">
        <filterColumn colId="5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2072150169"/>
        </ext>
      </extLst>
    </customSheetView>
    <customSheetView guid="{5727B7AE-53CF-47FC-A192-2FFE798B15CD}" filter="1" showAutoFilter="1">
      <pageMargins left="0.7" right="0.7" top="0.75" bottom="0.75" header="0.3" footer="0.3"/>
      <autoFilter ref="A49:I220" xr:uid="{32EE21E1-D9E5-474E-9F84-CE7A4D4CA277}"/>
      <extLst>
        <ext uri="GoogleSheetsCustomDataVersion1">
          <go:sheetsCustomData xmlns:go="http://customooxmlschemas.google.com/" filterViewId="2072670567"/>
        </ext>
      </extLst>
    </customSheetView>
    <customSheetView guid="{7284F595-B615-41DE-95E5-376C6CD6673F}" filter="1" showAutoFilter="1">
      <pageMargins left="0.7" right="0.7" top="0.75" bottom="0.75" header="0.3" footer="0.3"/>
      <autoFilter ref="A49:O220" xr:uid="{C8E59157-BCDD-47F2-A95E-D1402A00E96F}"/>
      <extLst>
        <ext uri="GoogleSheetsCustomDataVersion1">
          <go:sheetsCustomData xmlns:go="http://customooxmlschemas.google.com/" filterViewId="2081209738"/>
        </ext>
      </extLst>
    </customSheetView>
    <customSheetView guid="{F26DA7BC-EBF9-48D6-AD40-3714AF19063A}" filter="1" showAutoFilter="1">
      <pageMargins left="0.7" right="0.7" top="0.75" bottom="0.75" header="0.3" footer="0.3"/>
      <autoFilter ref="A49:O63" xr:uid="{CB74801B-D61D-4B35-BE2F-CB45FCB87F23}"/>
      <extLst>
        <ext uri="GoogleSheetsCustomDataVersion1">
          <go:sheetsCustomData xmlns:go="http://customooxmlschemas.google.com/" filterViewId="208533776"/>
        </ext>
      </extLst>
    </customSheetView>
    <customSheetView guid="{9606A4B3-1BC0-452F-883A-4EF796C71F74}" filter="1" showAutoFilter="1">
      <pageMargins left="0.7" right="0.7" top="0.75" bottom="0.75" header="0.3" footer="0.3"/>
      <autoFilter ref="A2:O220" xr:uid="{F1FF73F1-975B-4F5C-ADDB-1F79F965F358}"/>
      <extLst>
        <ext uri="GoogleSheetsCustomDataVersion1">
          <go:sheetsCustomData xmlns:go="http://customooxmlschemas.google.com/" filterViewId="2103827302"/>
        </ext>
      </extLst>
    </customSheetView>
    <customSheetView guid="{7AB1E8AC-40AE-4C5C-9BDA-456DF484F5AC}" filter="1" showAutoFilter="1">
      <pageMargins left="0.7" right="0.7" top="0.75" bottom="0.75" header="0.3" footer="0.3"/>
      <autoFilter ref="A49:O220" xr:uid="{F61FC409-3A00-4F5B-977C-608533B6EF11}"/>
      <extLst>
        <ext uri="GoogleSheetsCustomDataVersion1">
          <go:sheetsCustomData xmlns:go="http://customooxmlschemas.google.com/" filterViewId="2108009562"/>
        </ext>
      </extLst>
    </customSheetView>
    <customSheetView guid="{3975D1DF-8296-445E-A42B-725F6FF47E60}" filter="1" showAutoFilter="1">
      <pageMargins left="0.7" right="0.7" top="0.75" bottom="0.75" header="0.3" footer="0.3"/>
      <autoFilter ref="A1:I220" xr:uid="{312F01D7-A1B5-418C-9D79-0F9490A1C116}">
        <filterColumn colId="5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2127030191"/>
        </ext>
      </extLst>
    </customSheetView>
    <customSheetView guid="{572EF3AC-D508-4E63-B67A-DDBAEF024046}" filter="1" showAutoFilter="1">
      <pageMargins left="0.7" right="0.7" top="0.75" bottom="0.75" header="0.3" footer="0.3"/>
      <autoFilter ref="A1:V220" xr:uid="{C1CB9A94-849E-48B4-9A78-3C0ADD25C052}">
        <filterColumn colId="1">
          <filters>
            <filter val="Listado de Incidencias de la Revisión Funcional y Técnicas - Sistema GESTIÓN DE UBIGEO"/>
          </filters>
        </filterColumn>
        <filterColumn colId="5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2145114185"/>
        </ext>
      </extLst>
    </customSheetView>
    <customSheetView guid="{9153D549-821F-4323-ACFA-AD887DB51096}" filter="1" showAutoFilter="1">
      <pageMargins left="0.7" right="0.7" top="0.75" bottom="0.75" header="0.3" footer="0.3"/>
      <autoFilter ref="A49:I220" xr:uid="{D3263FF1-B77D-4209-A48E-77D7D6A0E600}"/>
      <extLst>
        <ext uri="GoogleSheetsCustomDataVersion1">
          <go:sheetsCustomData xmlns:go="http://customooxmlschemas.google.com/" filterViewId="2145497283"/>
        </ext>
      </extLst>
    </customSheetView>
    <customSheetView guid="{0D3440E2-FC27-4522-BB39-DF9F0B4D5D72}" filter="1" showAutoFilter="1">
      <pageMargins left="0.7" right="0.7" top="0.75" bottom="0.75" header="0.3" footer="0.3"/>
      <autoFilter ref="A2:O220" xr:uid="{3AB8BCEF-D158-49A2-B4D2-F98C45B2E30B}"/>
      <extLst>
        <ext uri="GoogleSheetsCustomDataVersion1">
          <go:sheetsCustomData xmlns:go="http://customooxmlschemas.google.com/" filterViewId="22330532"/>
        </ext>
      </extLst>
    </customSheetView>
    <customSheetView guid="{D882DDE6-CE72-4198-BF6E-8949ECE51BD4}" filter="1" showAutoFilter="1">
      <pageMargins left="0.7" right="0.7" top="0.75" bottom="0.75" header="0.3" footer="0.3"/>
      <autoFilter ref="A1:I220" xr:uid="{3DC98021-7160-48FA-90A1-F6CF227C5F39}">
        <filterColumn colId="1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256774455"/>
        </ext>
      </extLst>
    </customSheetView>
    <customSheetView guid="{A50EDA5E-0A24-4646-BCC0-46E1AF7647AA}" filter="1" showAutoFilter="1">
      <pageMargins left="0.7" right="0.7" top="0.75" bottom="0.75" header="0.3" footer="0.3"/>
      <autoFilter ref="A1:V220" xr:uid="{23BDAABA-7982-4AD8-B7AD-14DC71911A32}"/>
      <extLst>
        <ext uri="GoogleSheetsCustomDataVersion1">
          <go:sheetsCustomData xmlns:go="http://customooxmlschemas.google.com/" filterViewId="29527247"/>
        </ext>
      </extLst>
    </customSheetView>
    <customSheetView guid="{1A99267A-0283-4461-BF75-71DA22AC7D08}" filter="1" showAutoFilter="1">
      <pageMargins left="0.7" right="0.7" top="0.75" bottom="0.75" header="0.3" footer="0.3"/>
      <autoFilter ref="A49:I220" xr:uid="{6D45C3E0-A261-495C-B0FE-D6EAF2D51A6F}"/>
      <extLst>
        <ext uri="GoogleSheetsCustomDataVersion1">
          <go:sheetsCustomData xmlns:go="http://customooxmlschemas.google.com/" filterViewId="297846484"/>
        </ext>
      </extLst>
    </customSheetView>
    <customSheetView guid="{128F9D38-1393-4A5A-8793-FA346A5557C6}" filter="1" showAutoFilter="1">
      <pageMargins left="0.7" right="0.7" top="0.75" bottom="0.75" header="0.3" footer="0.3"/>
      <autoFilter ref="A49:J63" xr:uid="{B371CA00-BD10-4291-B179-6A761A154B96}"/>
      <extLst>
        <ext uri="GoogleSheetsCustomDataVersion1">
          <go:sheetsCustomData xmlns:go="http://customooxmlschemas.google.com/" filterViewId="3104153"/>
        </ext>
      </extLst>
    </customSheetView>
    <customSheetView guid="{52D82730-8101-42C2-8356-45F6C23FB072}" filter="1" showAutoFilter="1">
      <pageMargins left="0.7" right="0.7" top="0.75" bottom="0.75" header="0.3" footer="0.3"/>
      <autoFilter ref="A49:U220" xr:uid="{28720080-73AC-4C38-B87C-4982132665D2}"/>
      <extLst>
        <ext uri="GoogleSheetsCustomDataVersion1">
          <go:sheetsCustomData xmlns:go="http://customooxmlschemas.google.com/" filterViewId="313728309"/>
        </ext>
      </extLst>
    </customSheetView>
    <customSheetView guid="{DD03F7C5-881E-47D5-B147-00CDBDABBB1C}" filter="1" showAutoFilter="1">
      <pageMargins left="0.7" right="0.7" top="0.75" bottom="0.75" header="0.3" footer="0.3"/>
      <autoFilter ref="P49:P220" xr:uid="{CF0D5C31-0346-496E-B3F3-9D1E8F6ED048}"/>
      <extLst>
        <ext uri="GoogleSheetsCustomDataVersion1">
          <go:sheetsCustomData xmlns:go="http://customooxmlschemas.google.com/" filterViewId="314260300"/>
        </ext>
      </extLst>
    </customSheetView>
    <customSheetView guid="{DB1FD483-6838-44DA-8553-3FBA6168CA60}" filter="1" showAutoFilter="1">
      <pageMargins left="0.7" right="0.7" top="0.75" bottom="0.75" header="0.3" footer="0.3"/>
      <autoFilter ref="A49:O220" xr:uid="{CB092935-94DD-4327-93D6-BA5F940F94EB}"/>
      <extLst>
        <ext uri="GoogleSheetsCustomDataVersion1">
          <go:sheetsCustomData xmlns:go="http://customooxmlschemas.google.com/" filterViewId="33123136"/>
        </ext>
      </extLst>
    </customSheetView>
    <customSheetView guid="{BD7589DB-E533-4290-9606-AA69C7E4348C}" filter="1" showAutoFilter="1">
      <pageMargins left="0.7" right="0.7" top="0.75" bottom="0.75" header="0.3" footer="0.3"/>
      <autoFilter ref="A49:M220" xr:uid="{791D4D93-46B2-422B-82E4-C25F1AD2C8EC}"/>
      <extLst>
        <ext uri="GoogleSheetsCustomDataVersion1">
          <go:sheetsCustomData xmlns:go="http://customooxmlschemas.google.com/" filterViewId="341838858"/>
        </ext>
      </extLst>
    </customSheetView>
    <customSheetView guid="{F7E8F26E-8764-4FA2-A2A3-DA3698DA687E}" filter="1" showAutoFilter="1">
      <pageMargins left="0.7" right="0.7" top="0.75" bottom="0.75" header="0.3" footer="0.3"/>
      <autoFilter ref="R49:T50" xr:uid="{DC6848CC-714A-41F4-81F6-DAFD2B79584D}"/>
      <extLst>
        <ext uri="GoogleSheetsCustomDataVersion1">
          <go:sheetsCustomData xmlns:go="http://customooxmlschemas.google.com/" filterViewId="346058342"/>
        </ext>
      </extLst>
    </customSheetView>
    <customSheetView guid="{D7718746-2F54-4DFE-A769-D6472F3E6C0B}" filter="1" showAutoFilter="1">
      <pageMargins left="0.7" right="0.7" top="0.75" bottom="0.75" header="0.3" footer="0.3"/>
      <autoFilter ref="A49:V220" xr:uid="{9AFDA041-43D6-424A-BA89-9B218D1FF86E}"/>
      <extLst>
        <ext uri="GoogleSheetsCustomDataVersion1">
          <go:sheetsCustomData xmlns:go="http://customooxmlschemas.google.com/" filterViewId="393575777"/>
        </ext>
      </extLst>
    </customSheetView>
    <customSheetView guid="{4C23C600-26F2-4062-8D06-D7DF755CD599}" filter="1" showAutoFilter="1">
      <pageMargins left="0.7" right="0.7" top="0.75" bottom="0.75" header="0.3" footer="0.3"/>
      <autoFilter ref="A1:V220" xr:uid="{088CE821-EB7B-4831-A8E3-BACBB6410B79}">
        <filterColumn colId="1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476848120"/>
        </ext>
      </extLst>
    </customSheetView>
    <customSheetView guid="{E44B98C0-844E-4F9B-B0CA-59B94217FA6D}" filter="1" showAutoFilter="1">
      <pageMargins left="0.7" right="0.7" top="0.75" bottom="0.75" header="0.3" footer="0.3"/>
      <autoFilter ref="A1:V220" xr:uid="{92B11050-C300-41C3-B757-8459F5B4DE83}"/>
      <extLst>
        <ext uri="GoogleSheetsCustomDataVersion1">
          <go:sheetsCustomData xmlns:go="http://customooxmlschemas.google.com/" filterViewId="485891696"/>
        </ext>
      </extLst>
    </customSheetView>
    <customSheetView guid="{083EE738-64D6-4E61-826A-8DE1537EB8D2}" filter="1" showAutoFilter="1">
      <pageMargins left="0.7" right="0.7" top="0.75" bottom="0.75" header="0.3" footer="0.3"/>
      <autoFilter ref="A1:V220" xr:uid="{D13481C8-F8DB-4F2A-A499-A41FF19974D4}">
        <filterColumn colId="1">
          <filters>
            <filter val="Listado de Incidencias de la Revisión Funcional y Técnicas - Sistema GESTIÓN DE UBIGEO"/>
          </filters>
        </filterColumn>
        <filterColumn colId="5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495784157"/>
        </ext>
      </extLst>
    </customSheetView>
    <customSheetView guid="{7F04ED7C-AC49-46EC-B849-703F10341C5D}" filter="1" showAutoFilter="1">
      <pageMargins left="0.7" right="0.7" top="0.75" bottom="0.75" header="0.3" footer="0.3"/>
      <autoFilter ref="A1:T50" xr:uid="{54037415-DB7E-4B87-A59A-2E0DD76D840A}">
        <filterColumn colId="1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513731145"/>
        </ext>
      </extLst>
    </customSheetView>
    <customSheetView guid="{9AB29BC3-9A36-4807-9E18-226781CBDA38}" filter="1" showAutoFilter="1">
      <pageMargins left="0.7" right="0.7" top="0.75" bottom="0.75" header="0.3" footer="0.3"/>
      <autoFilter ref="A49:M220" xr:uid="{705B3FE6-939D-4632-BF15-FB91AE421E8C}"/>
      <extLst>
        <ext uri="GoogleSheetsCustomDataVersion1">
          <go:sheetsCustomData xmlns:go="http://customooxmlschemas.google.com/" filterViewId="542806834"/>
        </ext>
      </extLst>
    </customSheetView>
    <customSheetView guid="{D1C575F5-1C84-4676-BF56-DBF11A7D392C}" filter="1" showAutoFilter="1">
      <pageMargins left="0.7" right="0.7" top="0.75" bottom="0.75" header="0.3" footer="0.3"/>
      <autoFilter ref="A64:Q220" xr:uid="{54D22FD8-FCAA-4082-ABAF-DB2D3A5702C9}"/>
      <extLst>
        <ext uri="GoogleSheetsCustomDataVersion1">
          <go:sheetsCustomData xmlns:go="http://customooxmlschemas.google.com/" filterViewId="54506934"/>
        </ext>
      </extLst>
    </customSheetView>
    <customSheetView guid="{2616F909-F6A8-4875-92F1-7489011979BE}" filter="1" showAutoFilter="1">
      <pageMargins left="0.7" right="0.7" top="0.75" bottom="0.75" header="0.3" footer="0.3"/>
      <autoFilter ref="A49:AA220" xr:uid="{F4C8AB97-B06E-4124-9871-45106D8B3235}"/>
      <extLst>
        <ext uri="GoogleSheetsCustomDataVersion1">
          <go:sheetsCustomData xmlns:go="http://customooxmlschemas.google.com/" filterViewId="578811342"/>
        </ext>
      </extLst>
    </customSheetView>
    <customSheetView guid="{510F36EF-0F2F-4421-8AE2-42331185E17D}" filter="1" showAutoFilter="1">
      <pageMargins left="0.7" right="0.7" top="0.75" bottom="0.75" header="0.3" footer="0.3"/>
      <autoFilter ref="A49:O220" xr:uid="{B9614E2A-0222-4670-98F7-9678EE2F42E8}"/>
      <extLst>
        <ext uri="GoogleSheetsCustomDataVersion1">
          <go:sheetsCustomData xmlns:go="http://customooxmlschemas.google.com/" filterViewId="588146528"/>
        </ext>
      </extLst>
    </customSheetView>
    <customSheetView guid="{B92DDE69-5E88-447B-AC8C-54227A5354D3}" filter="1" showAutoFilter="1">
      <pageMargins left="0.7" right="0.7" top="0.75" bottom="0.75" header="0.3" footer="0.3"/>
      <autoFilter ref="A1:V220" xr:uid="{3174713D-AFEF-49F0-982E-1DC839E3A908}">
        <filterColumn colId="1">
          <filters>
            <filter val="Listado de Incidencias de la Revisión Funcional y Técnicas - Sistema GESTIÓN DE UBIGEO"/>
          </filters>
        </filterColumn>
        <filterColumn colId="5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589925107"/>
        </ext>
      </extLst>
    </customSheetView>
    <customSheetView guid="{71E9F136-BF55-4DE1-A35E-D0AE3E2D9B40}" filter="1" showAutoFilter="1">
      <pageMargins left="0.7" right="0.7" top="0.75" bottom="0.75" header="0.3" footer="0.3"/>
      <autoFilter ref="A49:U220" xr:uid="{00DBC7AE-48F3-4BAC-8F23-E8B3FB070728}"/>
      <extLst>
        <ext uri="GoogleSheetsCustomDataVersion1">
          <go:sheetsCustomData xmlns:go="http://customooxmlschemas.google.com/" filterViewId="600532170"/>
        </ext>
      </extLst>
    </customSheetView>
    <customSheetView guid="{B162741D-8425-4252-BBD0-02C84E11E10D}" filter="1" showAutoFilter="1">
      <pageMargins left="0.7" right="0.7" top="0.75" bottom="0.75" header="0.3" footer="0.3"/>
      <autoFilter ref="A1:I220" xr:uid="{B7A462B6-6B55-4127-A036-3D0B109E21BF}">
        <filterColumn colId="5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609836751"/>
        </ext>
      </extLst>
    </customSheetView>
    <customSheetView guid="{9B1F8FA7-7628-4886-B11B-BEDED8C7DBA6}" filter="1" showAutoFilter="1">
      <pageMargins left="0.7" right="0.7" top="0.75" bottom="0.75" header="0.3" footer="0.3"/>
      <autoFilter ref="A1:I220" xr:uid="{DBA747C5-2DF5-4C6F-B52B-E1EFA92C540B}"/>
      <extLst>
        <ext uri="GoogleSheetsCustomDataVersion1">
          <go:sheetsCustomData xmlns:go="http://customooxmlschemas.google.com/" filterViewId="615183201"/>
        </ext>
      </extLst>
    </customSheetView>
    <customSheetView guid="{E1BBFA9A-8080-46FE-A961-BB23E161865A}" filter="1" showAutoFilter="1">
      <pageMargins left="0.7" right="0.7" top="0.75" bottom="0.75" header="0.3" footer="0.3"/>
      <autoFilter ref="P49:P220" xr:uid="{44D764F2-2B0C-4D09-AF6D-191CDB87059A}"/>
      <extLst>
        <ext uri="GoogleSheetsCustomDataVersion1">
          <go:sheetsCustomData xmlns:go="http://customooxmlschemas.google.com/" filterViewId="639686157"/>
        </ext>
      </extLst>
    </customSheetView>
    <customSheetView guid="{7999E4B6-7D61-4AE0-ADF5-8A0A393A3158}" filter="1" showAutoFilter="1">
      <pageMargins left="0.7" right="0.7" top="0.75" bottom="0.75" header="0.3" footer="0.3"/>
      <autoFilter ref="A2:O220" xr:uid="{21A7C2AC-CCBE-4D6D-9D5F-2F9B788B0981}"/>
      <extLst>
        <ext uri="GoogleSheetsCustomDataVersion1">
          <go:sheetsCustomData xmlns:go="http://customooxmlschemas.google.com/" filterViewId="670554760"/>
        </ext>
      </extLst>
    </customSheetView>
    <customSheetView guid="{AE376600-0DC7-44D2-94B2-2029C1D5E558}" filter="1" showAutoFilter="1">
      <pageMargins left="0.7" right="0.7" top="0.75" bottom="0.75" header="0.3" footer="0.3"/>
      <autoFilter ref="A49:O220" xr:uid="{8C94FF49-814D-4D54-94E3-7D5654BD25C4}"/>
      <extLst>
        <ext uri="GoogleSheetsCustomDataVersion1">
          <go:sheetsCustomData xmlns:go="http://customooxmlschemas.google.com/" filterViewId="694366937"/>
        </ext>
      </extLst>
    </customSheetView>
    <customSheetView guid="{36F164B3-D871-43E5-A9AC-A6B23943FEEB}" filter="1" showAutoFilter="1">
      <pageMargins left="0.7" right="0.7" top="0.75" bottom="0.75" header="0.3" footer="0.3"/>
      <autoFilter ref="A49:I220" xr:uid="{FFF3E76D-C467-4F5D-A5FE-E953C85925C7}"/>
      <extLst>
        <ext uri="GoogleSheetsCustomDataVersion1">
          <go:sheetsCustomData xmlns:go="http://customooxmlschemas.google.com/" filterViewId="718576897"/>
        </ext>
      </extLst>
    </customSheetView>
    <customSheetView guid="{5A77D55B-90AE-46C6-8056-00D7E95E5C7B}" filter="1" showAutoFilter="1">
      <pageMargins left="0.7" right="0.7" top="0.75" bottom="0.75" header="0.3" footer="0.3"/>
      <autoFilter ref="A1:V220" xr:uid="{A388C3F3-852A-4B81-ABC6-3F22B0F919BC}">
        <filterColumn colId="1">
          <filters>
            <filter val="Listado de Incidencias de la Revisión Funcional y Técnicas - Sistema GESTIÓN DE UBIGEO"/>
          </filters>
        </filterColumn>
        <filterColumn colId="5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731084919"/>
        </ext>
      </extLst>
    </customSheetView>
    <customSheetView guid="{93ECD254-DE4D-4685-A725-C03982E2F41A}" filter="1" showAutoFilter="1">
      <pageMargins left="0.7" right="0.7" top="0.75" bottom="0.75" header="0.3" footer="0.3"/>
      <autoFilter ref="A1:V220" xr:uid="{38DD85BA-D19C-4566-AA5B-FB699C985DA5}">
        <filterColumn colId="1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747904384"/>
        </ext>
      </extLst>
    </customSheetView>
    <customSheetView guid="{EA83768B-FD5D-4C67-B984-7D21B1EE700F}" filter="1" showAutoFilter="1">
      <pageMargins left="0.7" right="0.7" top="0.75" bottom="0.75" header="0.3" footer="0.3"/>
      <autoFilter ref="A49:U220" xr:uid="{E9FEFFCE-5C2D-4953-8A40-EDFD3FF8E432}"/>
      <extLst>
        <ext uri="GoogleSheetsCustomDataVersion1">
          <go:sheetsCustomData xmlns:go="http://customooxmlschemas.google.com/" filterViewId="749671388"/>
        </ext>
      </extLst>
    </customSheetView>
    <customSheetView guid="{7272C260-9D42-4FE7-AF5C-17DA2E6B1E3E}" filter="1" showAutoFilter="1">
      <pageMargins left="0.7" right="0.7" top="0.75" bottom="0.75" header="0.3" footer="0.3"/>
      <autoFilter ref="A49:I220" xr:uid="{21FEC401-1ECC-4EBE-B224-32466023749D}"/>
      <extLst>
        <ext uri="GoogleSheetsCustomDataVersion1">
          <go:sheetsCustomData xmlns:go="http://customooxmlschemas.google.com/" filterViewId="795572380"/>
        </ext>
      </extLst>
    </customSheetView>
    <customSheetView guid="{B7459739-FF7B-43B3-B250-0DCF8416E401}" filter="1" showAutoFilter="1">
      <pageMargins left="0.7" right="0.7" top="0.75" bottom="0.75" header="0.3" footer="0.3"/>
      <autoFilter ref="A49:J63" xr:uid="{B3D17F1F-70B8-40B8-B75A-18A930B6B595}"/>
      <extLst>
        <ext uri="GoogleSheetsCustomDataVersion1">
          <go:sheetsCustomData xmlns:go="http://customooxmlschemas.google.com/" filterViewId="799161824"/>
        </ext>
      </extLst>
    </customSheetView>
    <customSheetView guid="{33F92E74-8D12-4DBD-BE96-35943AA5CB92}" filter="1" showAutoFilter="1">
      <pageMargins left="0.7" right="0.7" top="0.75" bottom="0.75" header="0.3" footer="0.3"/>
      <autoFilter ref="A2:O220" xr:uid="{8D05BED2-7B57-4CE5-B9B5-3FF4096EDE18}"/>
      <extLst>
        <ext uri="GoogleSheetsCustomDataVersion1">
          <go:sheetsCustomData xmlns:go="http://customooxmlschemas.google.com/" filterViewId="799582926"/>
        </ext>
      </extLst>
    </customSheetView>
    <customSheetView guid="{09C98F4F-9DB4-46CA-B54D-4A2995F0F31F}" filter="1" showAutoFilter="1">
      <pageMargins left="0.7" right="0.7" top="0.75" bottom="0.75" header="0.3" footer="0.3"/>
      <autoFilter ref="A49:U220" xr:uid="{C58E11AE-EC40-47AD-A557-4929EB297CFB}"/>
      <extLst>
        <ext uri="GoogleSheetsCustomDataVersion1">
          <go:sheetsCustomData xmlns:go="http://customooxmlschemas.google.com/" filterViewId="803318604"/>
        </ext>
      </extLst>
    </customSheetView>
    <customSheetView guid="{B3EB6E87-762C-4DA1-9D1A-2D48EB032761}" filter="1" showAutoFilter="1">
      <pageMargins left="0.7" right="0.7" top="0.75" bottom="0.75" header="0.3" footer="0.3"/>
      <autoFilter ref="A1:V220" xr:uid="{589E4202-9A9B-412A-83F3-6E8AEF328CA2}">
        <filterColumn colId="1">
          <filters>
            <filter val="Listado de Incidencias de la Revisión Funcional y Técnicas - Sistema GESTIÓN DE UBIGEO"/>
          </filters>
        </filterColumn>
        <filterColumn colId="5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824769598"/>
        </ext>
      </extLst>
    </customSheetView>
    <customSheetView guid="{F7CC633A-5F52-46D7-BDDD-28A7BEC85582}" filter="1" showAutoFilter="1">
      <pageMargins left="0.7" right="0.7" top="0.75" bottom="0.75" header="0.3" footer="0.3"/>
      <autoFilter ref="A49:V220" xr:uid="{DA4D1BD6-3D9F-4585-B1B4-6E45DE339FE6}"/>
      <extLst>
        <ext uri="GoogleSheetsCustomDataVersion1">
          <go:sheetsCustomData xmlns:go="http://customooxmlschemas.google.com/" filterViewId="827221447"/>
        </ext>
      </extLst>
    </customSheetView>
    <customSheetView guid="{62ECBD26-DE1A-4178-9982-7FCE8B05620C}" filter="1" showAutoFilter="1">
      <pageMargins left="0.7" right="0.7" top="0.75" bottom="0.75" header="0.3" footer="0.3"/>
      <autoFilter ref="A1:AA220" xr:uid="{48BC80CF-FAD4-4C71-AE5A-4EEE7A43E86E}"/>
      <extLst>
        <ext uri="GoogleSheetsCustomDataVersion1">
          <go:sheetsCustomData xmlns:go="http://customooxmlschemas.google.com/" filterViewId="832110156"/>
        </ext>
      </extLst>
    </customSheetView>
    <customSheetView guid="{2F8F6613-367B-4DCA-AEBA-E7517ACEC861}" filter="1" showAutoFilter="1">
      <pageMargins left="0.7" right="0.7" top="0.75" bottom="0.75" header="0.3" footer="0.3"/>
      <autoFilter ref="A49:O220" xr:uid="{533D54DC-091A-4343-8901-46C28B749099}"/>
      <extLst>
        <ext uri="GoogleSheetsCustomDataVersion1">
          <go:sheetsCustomData xmlns:go="http://customooxmlschemas.google.com/" filterViewId="835391891"/>
        </ext>
      </extLst>
    </customSheetView>
    <customSheetView guid="{DF0CDE49-DB4F-4350-80A8-21AFE39CC53C}" filter="1" showAutoFilter="1">
      <pageMargins left="0.7" right="0.7" top="0.75" bottom="0.75" header="0.3" footer="0.3"/>
      <autoFilter ref="A1:V220" xr:uid="{CEE2D28E-E552-46A0-9E8B-2C7EB5272786}"/>
      <extLst>
        <ext uri="GoogleSheetsCustomDataVersion1">
          <go:sheetsCustomData xmlns:go="http://customooxmlschemas.google.com/" filterViewId="841375862"/>
        </ext>
      </extLst>
    </customSheetView>
    <customSheetView guid="{09E5EA25-4EA2-495A-8983-EE3B02D31F2C}" filter="1" showAutoFilter="1">
      <pageMargins left="0.7" right="0.7" top="0.75" bottom="0.75" header="0.3" footer="0.3"/>
      <autoFilter ref="A1:AA220" xr:uid="{B6CB0B8F-73E0-4B2C-B2C5-0FB3734BEFB4}">
        <filterColumn colId="5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849928316"/>
        </ext>
      </extLst>
    </customSheetView>
    <customSheetView guid="{8D8AE14E-EC20-440C-9C39-5BEA7CF5A04F}" filter="1" showAutoFilter="1">
      <pageMargins left="0.7" right="0.7" top="0.75" bottom="0.75" header="0.3" footer="0.3"/>
      <autoFilter ref="A49:J63" xr:uid="{85AD33B3-1F79-4393-A101-E482315478AF}"/>
      <extLst>
        <ext uri="GoogleSheetsCustomDataVersion1">
          <go:sheetsCustomData xmlns:go="http://customooxmlschemas.google.com/" filterViewId="86450948"/>
        </ext>
      </extLst>
    </customSheetView>
    <customSheetView guid="{05F2F1B6-41D6-4FE2-8B6F-005B78715AF3}" filter="1" showAutoFilter="1">
      <pageMargins left="0.7" right="0.7" top="0.75" bottom="0.75" header="0.3" footer="0.3"/>
      <autoFilter ref="A1:I220" xr:uid="{D5585CC9-C8F2-496D-BF0D-53CA39BB5BBC}">
        <filterColumn colId="1">
          <filters>
            <filter val="Listado de Incidencias de la Revisión Funcional y Técnicas - Sistema GESTIÓN DE UBIGEO"/>
          </filters>
        </filterColumn>
      </autoFilter>
      <extLst>
        <ext uri="GoogleSheetsCustomDataVersion1">
          <go:sheetsCustomData xmlns:go="http://customooxmlschemas.google.com/" filterViewId="881723737"/>
        </ext>
      </extLst>
    </customSheetView>
    <customSheetView guid="{0F4A1A03-8A66-493D-AD63-B9D2D2F331E5}" filter="1" showAutoFilter="1">
      <pageMargins left="0.7" right="0.7" top="0.75" bottom="0.75" header="0.3" footer="0.3"/>
      <autoFilter ref="A49:I220" xr:uid="{834329AA-CE3B-49CF-8E78-32F0427E7243}"/>
      <extLst>
        <ext uri="GoogleSheetsCustomDataVersion1">
          <go:sheetsCustomData xmlns:go="http://customooxmlschemas.google.com/" filterViewId="891021227"/>
        </ext>
      </extLst>
    </customSheetView>
    <customSheetView guid="{7D8F2336-9D3F-44C1-A24E-157AED1D31FC}" filter="1" showAutoFilter="1">
      <pageMargins left="0.7" right="0.7" top="0.75" bottom="0.75" header="0.3" footer="0.3"/>
      <autoFilter ref="A49:U220" xr:uid="{E92A0465-0C25-44AA-B4B6-A3195DA08476}"/>
      <extLst>
        <ext uri="GoogleSheetsCustomDataVersion1">
          <go:sheetsCustomData xmlns:go="http://customooxmlschemas.google.com/" filterViewId="891266761"/>
        </ext>
      </extLst>
    </customSheetView>
    <customSheetView guid="{053C502E-8A07-4287-9848-FA53BEF25CDC}" filter="1" showAutoFilter="1">
      <pageMargins left="0.7" right="0.7" top="0.75" bottom="0.75" header="0.3" footer="0.3"/>
      <autoFilter ref="A49:O220" xr:uid="{E076ABD1-093A-4DBE-9870-736832C965DD}"/>
      <extLst>
        <ext uri="GoogleSheetsCustomDataVersion1">
          <go:sheetsCustomData xmlns:go="http://customooxmlschemas.google.com/" filterViewId="91459185"/>
        </ext>
      </extLst>
    </customSheetView>
    <customSheetView guid="{1FD4AC56-906D-4D4D-8534-FFCD905BEAB1}" filter="1" showAutoFilter="1">
      <pageMargins left="0.7" right="0.7" top="0.75" bottom="0.75" header="0.3" footer="0.3"/>
      <autoFilter ref="B57:B220" xr:uid="{DEFB3AC1-D70F-4922-9D41-1FBECBB8A86A}"/>
      <extLst>
        <ext uri="GoogleSheetsCustomDataVersion1">
          <go:sheetsCustomData xmlns:go="http://customooxmlschemas.google.com/" filterViewId="938737181"/>
        </ext>
      </extLst>
    </customSheetView>
    <customSheetView guid="{1C8DE838-11D6-4F8D-A300-0436111F4A12}" filter="1" showAutoFilter="1">
      <pageMargins left="0.7" right="0.7" top="0.75" bottom="0.75" header="0.3" footer="0.3"/>
      <autoFilter ref="A49:I220" xr:uid="{6EA46039-7250-4FF4-BBF1-7E567ACF85C3}"/>
      <extLst>
        <ext uri="GoogleSheetsCustomDataVersion1">
          <go:sheetsCustomData xmlns:go="http://customooxmlschemas.google.com/" filterViewId="955307603"/>
        </ext>
      </extLst>
    </customSheetView>
    <customSheetView guid="{3A6B1647-FE81-4D08-93FF-8878C0A8F211}" filter="1" showAutoFilter="1">
      <pageMargins left="0.7" right="0.7" top="0.75" bottom="0.75" header="0.3" footer="0.3"/>
      <autoFilter ref="A49:AA220" xr:uid="{CC5DB5A5-6235-426D-AD67-9590A6174AB2}"/>
      <extLst>
        <ext uri="GoogleSheetsCustomDataVersion1">
          <go:sheetsCustomData xmlns:go="http://customooxmlschemas.google.com/" filterViewId="976834670"/>
        </ext>
      </extLst>
    </customSheetView>
  </customSheetViews>
  <mergeCells count="13">
    <mergeCell ref="C16:G16"/>
    <mergeCell ref="C11:G11"/>
    <mergeCell ref="C12:G12"/>
    <mergeCell ref="C13:G13"/>
    <mergeCell ref="C14:G14"/>
    <mergeCell ref="C15:G15"/>
    <mergeCell ref="C25:G25"/>
    <mergeCell ref="C17:G17"/>
    <mergeCell ref="C19:G19"/>
    <mergeCell ref="C20:G20"/>
    <mergeCell ref="C21:G21"/>
    <mergeCell ref="C23:G23"/>
    <mergeCell ref="C24:G24"/>
  </mergeCells>
  <phoneticPr fontId="19" type="noConversion"/>
  <conditionalFormatting sqref="D1">
    <cfRule type="containsText" dxfId="15" priority="1" operator="containsText" text="ATENDIDO">
      <formula>NOT(ISERROR(SEARCH(("ATENDIDO"),(D1))))</formula>
    </cfRule>
    <cfRule type="containsText" dxfId="14" priority="2" operator="containsText" text="PENDIENTE">
      <formula>NOT(ISERROR(SEARCH(("PENDIENTE"),(D1))))</formula>
    </cfRule>
    <cfRule type="containsText" dxfId="13" priority="3" operator="containsText" text="NO APLICA">
      <formula>NOT(ISERROR(SEARCH(("NO APLICA"),(D1))))</formula>
    </cfRule>
  </conditionalFormatting>
  <conditionalFormatting sqref="D2:D6 W2:W6">
    <cfRule type="cellIs" dxfId="12" priority="58" operator="equal">
      <formula>$B$16</formula>
    </cfRule>
    <cfRule type="cellIs" dxfId="11" priority="59" operator="equal">
      <formula>$B$17</formula>
    </cfRule>
    <cfRule type="cellIs" dxfId="10" priority="60" operator="equal">
      <formula>$B$15</formula>
    </cfRule>
    <cfRule type="cellIs" dxfId="9" priority="61" operator="equal">
      <formula>$B$13</formula>
    </cfRule>
    <cfRule type="cellIs" dxfId="8" priority="62" operator="equal">
      <formula>$B$14</formula>
    </cfRule>
    <cfRule type="cellIs" dxfId="7" priority="63" operator="equal">
      <formula>$B$12</formula>
    </cfRule>
    <cfRule type="cellIs" dxfId="6" priority="64" operator="equal">
      <formula>$B$11</formula>
    </cfRule>
  </conditionalFormatting>
  <conditionalFormatting sqref="G2:G6">
    <cfRule type="cellIs" dxfId="5" priority="86" operator="equal">
      <formula>$B$21</formula>
    </cfRule>
    <cfRule type="cellIs" dxfId="4" priority="87" operator="equal">
      <formula>$B$20</formula>
    </cfRule>
    <cfRule type="cellIs" dxfId="3" priority="88" operator="equal">
      <formula>$B$19</formula>
    </cfRule>
  </conditionalFormatting>
  <conditionalFormatting sqref="U2:U6">
    <cfRule type="cellIs" dxfId="2" priority="92" operator="equal">
      <formula>$B$25</formula>
    </cfRule>
    <cfRule type="cellIs" dxfId="1" priority="93" operator="equal">
      <formula>$B$24</formula>
    </cfRule>
    <cfRule type="cellIs" dxfId="0" priority="94" operator="equal">
      <formula>$B$23</formula>
    </cfRule>
  </conditionalFormatting>
  <dataValidations count="5">
    <dataValidation type="list" allowBlank="1" sqref="W1" xr:uid="{00000000-0002-0000-0200-000001000000}">
      <formula1>"Atendido,Pendiente,Desestimado,Nuevo Requerimiento"</formula1>
    </dataValidation>
    <dataValidation type="list" allowBlank="1" sqref="X1:Y1" xr:uid="{00000000-0002-0000-0200-000003000000}">
      <formula1>"Yois T,Katty T.,Verónica C.,Renzo A."</formula1>
    </dataValidation>
    <dataValidation type="list" allowBlank="1" showErrorMessage="1" sqref="U2:U6" xr:uid="{00000000-0002-0000-0200-000000000000}">
      <formula1>$B$23:$B$25</formula1>
    </dataValidation>
    <dataValidation type="list" allowBlank="1" showErrorMessage="1" sqref="G2:G6" xr:uid="{00000000-0002-0000-0200-000002000000}">
      <formula1>$B$19:$B$21</formula1>
    </dataValidation>
    <dataValidation type="list" allowBlank="1" showErrorMessage="1" sqref="W2:W6 D2:D6" xr:uid="{00000000-0002-0000-0200-000004000000}">
      <formula1>$B$11:$B$17</formula1>
    </dataValidation>
  </dataValidations>
  <hyperlinks>
    <hyperlink ref="Q2" r:id="rId1" display="..\UBIGEO\BUG\INC-EACS-001.png" xr:uid="{C90D9D3C-054D-4F12-A341-6E59234C5DE2}"/>
    <hyperlink ref="Q3:Q6" r:id="rId2" display="..\UBIGEO\BUG\INC-EACS-001.png" xr:uid="{C670A5D9-37FF-4B31-8911-CF439A6C7669}"/>
  </hyperlinks>
  <pageMargins left="0.23622047244094499" right="0.23622047244094499" top="0.74803149606299202" bottom="0.74803149606299202" header="0" footer="0"/>
  <pageSetup paperSize="66" fitToWidth="0" orientation="landscape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 DE EJECUCION</vt:lpstr>
      <vt:lpstr>AVANCE EJECUCIÓN </vt:lpstr>
      <vt:lpstr>CONSOLIDADO DE INCIDENCIAS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 Katterine Cobeñas Pasapera</dc:creator>
  <cp:lastModifiedBy>ERICK DE LA CRUZ</cp:lastModifiedBy>
  <dcterms:created xsi:type="dcterms:W3CDTF">2019-01-10T23:07:00Z</dcterms:created>
  <dcterms:modified xsi:type="dcterms:W3CDTF">2026-09-23T04:46:40Z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3082-11.2.0.9747</vt:lpwstr>
  </property>
  <property fmtid="{D5CDD505-2E9C-101B-9397-08002B2CF9AE}" pid="3" name="ContentTypeId">
    <vt:lpwstr>0x010100C7D1DCAACD82B545AB88BF4ABED74A19</vt:lpwstr>
  </property>
  <property fmtid="{D5CDD505-2E9C-101B-9397-08002B2CF9AE}" pid="4" name="Order">
    <vt:r8>14124900</vt:r8>
  </property>
  <property fmtid="{D5CDD505-2E9C-101B-9397-08002B2CF9AE}" pid="5" name="SharedWithUsers">
    <vt:lpwstr>549;#Raul Cesar Huertas Salazar</vt:lpwstr>
  </property>
  <property fmtid="{D5CDD505-2E9C-101B-9397-08002B2CF9AE}" pid="6" name="_SourceUrl">
    <vt:lpwstr/>
  </property>
  <property fmtid="{D5CDD505-2E9C-101B-9397-08002B2CF9AE}" pid="7" name="_SharedFileIndex">
    <vt:lpwstr/>
  </property>
  <property fmtid="{D5CDD505-2E9C-101B-9397-08002B2CF9AE}" pid="8" name="ComplianceAssetId">
    <vt:lpwstr/>
  </property>
  <property fmtid="{D5CDD505-2E9C-101B-9397-08002B2CF9AE}" pid="9" name="_activity">
    <vt:lpwstr>{"FileActivityType":"9","FileActivityTimeStamp":"2025-04-23T20:38:58.500Z","FileActivityUsersOnPage":[{"DisplayName":"Evelyn Catterine Cobeñas Pasapera","Id":"ecobenas@contraloria.gob.pe"},{"DisplayName":"Raul Evert Segovia Diaz","Id":"rsegovia@contraloria.gob.pe"},{"DisplayName":"Juan Francisco Fernandez Sanchez","Id":"jfernandezs@contraloria.gob.pe"},{"DisplayName":"Jairo Wilfredo Puente De La Vega Chavez","Id":"jpuentedelavega@contraloria.gob.pe"},{"DisplayName":"Roberto Enriquez Morales","Id":"renriquez@contraloria.gob.pe"},{"DisplayName":"Evelyn Catterine Cobeñas Pasapera","Id":"ecobenas@contraloria.gob.pe"}],"FileActivityNavigationId":null}</vt:lpwstr>
  </property>
  <property fmtid="{D5CDD505-2E9C-101B-9397-08002B2CF9AE}" pid="10" name="_ExtendedDescription">
    <vt:lpwstr/>
  </property>
  <property fmtid="{D5CDD505-2E9C-101B-9397-08002B2CF9AE}" pid="11" name="TriggerFlowInfo">
    <vt:lpwstr/>
  </property>
  <property fmtid="{D5CDD505-2E9C-101B-9397-08002B2CF9AE}" pid="12" name="MediaServiceImageTags">
    <vt:lpwstr/>
  </property>
</Properties>
</file>