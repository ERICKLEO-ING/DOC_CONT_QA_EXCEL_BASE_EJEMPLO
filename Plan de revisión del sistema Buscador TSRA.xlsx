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ick\Desktop\ERIKA\QA\work contraloria\erika QA\TERCER PRODUCTO\"/>
    </mc:Choice>
  </mc:AlternateContent>
  <xr:revisionPtr revIDLastSave="0" documentId="13_ncr:1_{9247825D-E540-4716-BFC8-97204A5DDAB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LAN DE EJECUCION" sheetId="1" r:id="rId1"/>
    <sheet name="AVANCE EJECUCIÓN " sheetId="2" r:id="rId2"/>
    <sheet name="CONSOLIDADO DE INCIDENCIAS" sheetId="3" r:id="rId3"/>
  </sheets>
  <definedNames>
    <definedName name="_xlnm._FilterDatabase" localSheetId="2" hidden="1">'CONSOLIDADO DE INCIDENCIAS'!$A$1:$Z$6</definedName>
    <definedName name="_xlnm._FilterDatabase" localSheetId="0" hidden="1">'PLAN DE EJECUCION'!$B$15:$AA$15</definedName>
    <definedName name="_Hlk20317136" localSheetId="2">#REF!</definedName>
    <definedName name="OLE_LINK40" localSheetId="2">#REF!</definedName>
    <definedName name="Z_022B7002_BF2C_467C_94C6_2F4B1957B723_.wvu.FilterData" localSheetId="2" hidden="1">'CONSOLIDADO DE INCIDENCIAS'!$A$1:$AC$205</definedName>
    <definedName name="Z_031DCFBF_D9DE_47C6_9728_A245B3E32D0E_.wvu.FilterData" localSheetId="2" hidden="1">'CONSOLIDADO DE INCIDENCIAS'!$A$34:$AH$205</definedName>
    <definedName name="Z_053C502E_8A07_4287_9848_FA53BEF25CDC_.wvu.FilterData" localSheetId="2" hidden="1">'CONSOLIDADO DE INCIDENCIAS'!$A$34:$V$205</definedName>
    <definedName name="Z_05F2F1B6_41D6_4FE2_8B6F_005B78715AF3_.wvu.FilterData" localSheetId="2" hidden="1">'CONSOLIDADO DE INCIDENCIAS'!$A$1:$M$205</definedName>
    <definedName name="Z_0664A433_8342_47CF_996F_52A146D92FFA_.wvu.FilterData" localSheetId="2" hidden="1">'CONSOLIDADO DE INCIDENCIAS'!$A$1:$V$205</definedName>
    <definedName name="Z_083EE738_64D6_4E61_826A_8DE1537EB8D2_.wvu.FilterData" localSheetId="2" hidden="1">'CONSOLIDADO DE INCIDENCIAS'!$A$1:$AC$205</definedName>
    <definedName name="Z_09C98F4F_9DB4_46CA_B54D_4A2995F0F31F_.wvu.FilterData" localSheetId="2" hidden="1">'CONSOLIDADO DE INCIDENCIAS'!$A$34:$AB$205</definedName>
    <definedName name="Z_09E5EA25_4EA2_495A_8983_EE3B02D31F2C_.wvu.FilterData" localSheetId="2" hidden="1">'CONSOLIDADO DE INCIDENCIAS'!$A$1:$AH$205</definedName>
    <definedName name="Z_0D3440E2_FC27_4522_BB39_DF9F0B4D5D72_.wvu.FilterData" localSheetId="2" hidden="1">'CONSOLIDADO DE INCIDENCIAS'!$A$1:$V$205</definedName>
    <definedName name="Z_0D6C0055_A8FD_46C4_B2B7_CE5CC0B77CA1_.wvu.FilterData" localSheetId="2" hidden="1">'CONSOLIDADO DE INCIDENCIAS'!$A$34:$AC$205</definedName>
    <definedName name="Z_0F4A1A03_8A66_493D_AD63_B9D2D2F331E5_.wvu.FilterData" localSheetId="2" hidden="1">'CONSOLIDADO DE INCIDENCIAS'!$A$34:$M$205</definedName>
    <definedName name="Z_1012F98C_3763_4EDE_B5D5_20FE546E5D46_.wvu.FilterData" localSheetId="2" hidden="1">'CONSOLIDADO DE INCIDENCIAS'!$A$34:$M$205</definedName>
    <definedName name="Z_114F6802_2197_4322_B73A_0FC23C08550B_.wvu.FilterData" localSheetId="2" hidden="1">'CONSOLIDADO DE INCIDENCIAS'!$A$34:$T$205</definedName>
    <definedName name="Z_1187F710_8C93_4B53_A6DF_7457530643E4_.wvu.FilterData" localSheetId="2" hidden="1">'CONSOLIDADO DE INCIDENCIAS'!$A$34:$T$205</definedName>
    <definedName name="Z_128F9D38_1393_4A5A_8793_FA346A5557C6_.wvu.FilterData" localSheetId="2" hidden="1">'CONSOLIDADO DE INCIDENCIAS'!$A$34:$O$48</definedName>
    <definedName name="Z_14B5872E_AC42_46F2_A978_C2125F6F2A00_.wvu.FilterData" localSheetId="2" hidden="1">'CONSOLIDADO DE INCIDENCIAS'!$A$34:$M$205</definedName>
    <definedName name="Z_15081274_07BD_4195_B8A0_FEF6F2D55112_.wvu.FilterData" localSheetId="2" hidden="1">'CONSOLIDADO DE INCIDENCIAS'!$X$34:$AC$35</definedName>
    <definedName name="Z_16E4E86E_1438_468A_A344_51769E38771E_.wvu.FilterData" localSheetId="2" hidden="1">'CONSOLIDADO DE INCIDENCIAS'!$A$34:$AC$205</definedName>
    <definedName name="Z_16F4301D_B836_42F7_8020_2803956B914A_.wvu.FilterData" localSheetId="2" hidden="1">'CONSOLIDADO DE INCIDENCIAS'!$A$34:$M$205</definedName>
    <definedName name="Z_181AD504_66D9_4767_A682_83F62E4814B8_.wvu.FilterData" localSheetId="2" hidden="1">'CONSOLIDADO DE INCIDENCIAS'!$A$34:$AB$205</definedName>
    <definedName name="Z_1A78E216_AD46_44A0_9060_262F73619572_.wvu.FilterData" localSheetId="2" hidden="1">'CONSOLIDADO DE INCIDENCIAS'!$A$34:$M$205</definedName>
    <definedName name="Z_1A99267A_0283_4461_BF75_71DA22AC7D08_.wvu.FilterData" localSheetId="2" hidden="1">'CONSOLIDADO DE INCIDENCIAS'!$A$34:$M$205</definedName>
    <definedName name="Z_1C8DE838_11D6_4F8D_A300_0436111F4A12_.wvu.FilterData" localSheetId="2" hidden="1">'CONSOLIDADO DE INCIDENCIAS'!$A$34:$M$205</definedName>
    <definedName name="Z_1E107AD8_4A76_44CE_A9E1_AC0B663F3D7A_.wvu.FilterData" localSheetId="2" hidden="1">'CONSOLIDADO DE INCIDENCIAS'!$A$34:$T$205</definedName>
    <definedName name="Z_1FD4AC56_906D_4D4D_8534_FFCD905BEAB1_.wvu.FilterData" localSheetId="2" hidden="1">'CONSOLIDADO DE INCIDENCIAS'!$B$42:$B$205</definedName>
    <definedName name="Z_207366EA_06E5_4A7A_A8D5_930D94B44938_.wvu.FilterData" localSheetId="2" hidden="1">'CONSOLIDADO DE INCIDENCIAS'!$A$1:$AC$205</definedName>
    <definedName name="Z_21D3ABEC_E9B8_4B9E_B21F_3A1E35E59296_.wvu.FilterData" localSheetId="2" hidden="1">'CONSOLIDADO DE INCIDENCIAS'!$A$1:$V$205</definedName>
    <definedName name="Z_2616F909_F6A8_4875_92F1_7489011979BE_.wvu.FilterData" localSheetId="2" hidden="1">'CONSOLIDADO DE INCIDENCIAS'!$A$34:$AH$205</definedName>
    <definedName name="Z_26BE083E_F813_43CD_8080_176AC71EC6B1_.wvu.FilterData" localSheetId="2" hidden="1">'CONSOLIDADO DE INCIDENCIAS'!$A$1:$M$155</definedName>
    <definedName name="Z_276671E9_83F3_4274_8123_98123DFEA35E_.wvu.FilterData" localSheetId="2" hidden="1">'CONSOLIDADO DE INCIDENCIAS'!$A$1:$AC$205</definedName>
    <definedName name="Z_2F8F6613_367B_4DCA_AEBA_E7517ACEC861_.wvu.FilterData" localSheetId="2" hidden="1">'CONSOLIDADO DE INCIDENCIAS'!$A$34:$V$205</definedName>
    <definedName name="Z_3118B097_E2D5_4853_9ECC_4F918F82032A_.wvu.FilterData" localSheetId="2" hidden="1">'CONSOLIDADO DE INCIDENCIAS'!$P$1:$S$205</definedName>
    <definedName name="Z_33F92E74_8D12_4DBD_BE96_35943AA5CB92_.wvu.FilterData" localSheetId="2" hidden="1">'CONSOLIDADO DE INCIDENCIAS'!$A$1:$V$205</definedName>
    <definedName name="Z_35895A84_4FC6_4B15_A2A8_F8E79622C3D5_.wvu.FilterData" localSheetId="2" hidden="1">'CONSOLIDADO DE INCIDENCIAS'!$A$1:$AC$205</definedName>
    <definedName name="Z_36F164B3_D871_43E5_A9AC_A6B23943FEEB_.wvu.FilterData" localSheetId="2" hidden="1">'CONSOLIDADO DE INCIDENCIAS'!$A$34:$M$205</definedName>
    <definedName name="Z_3785B557_4AE9_4AF6_A2C2_13FE9E0136EA_.wvu.FilterData" localSheetId="2" hidden="1">'CONSOLIDADO DE INCIDENCIAS'!$A$1:$AH$205</definedName>
    <definedName name="Z_3975D1DF_8296_445E_A42B_725F6FF47E60_.wvu.FilterData" localSheetId="2" hidden="1">'CONSOLIDADO DE INCIDENCIAS'!$A$1:$M$205</definedName>
    <definedName name="Z_399CA99F_CCAB_41B7_A86F_4A8915850AD8_.wvu.FilterData" localSheetId="2" hidden="1">'CONSOLIDADO DE INCIDENCIAS'!$P$1:$S$205</definedName>
    <definedName name="Z_3A6B1647_FE81_4D08_93FF_8878C0A8F211_.wvu.FilterData" localSheetId="2" hidden="1">'CONSOLIDADO DE INCIDENCIAS'!$A$34:$AH$205</definedName>
    <definedName name="Z_3CF00FDE_7551_417F_A3B7_071FB8CAD5A6_.wvu.FilterData" localSheetId="2" hidden="1">'CONSOLIDADO DE INCIDENCIAS'!$A$34:$M$205</definedName>
    <definedName name="Z_415177D4_69C6_49B2_AC44_16824A0261AD_.wvu.FilterData" localSheetId="2" hidden="1">'CONSOLIDADO DE INCIDENCIAS'!$A$1:$M$205</definedName>
    <definedName name="Z_4693FF95_89F1_49D1_A143_D590B5504BB9_.wvu.FilterData" localSheetId="2" hidden="1">'CONSOLIDADO DE INCIDENCIAS'!$A$1:$AC$205</definedName>
    <definedName name="Z_46F690DE_B704_4543_ADDC_843710AE2022_.wvu.FilterData" localSheetId="2" hidden="1">'CONSOLIDADO DE INCIDENCIAS'!$A$1:$V$205</definedName>
    <definedName name="Z_4C23C600_26F2_4062_8D06_D7DF755CD599_.wvu.FilterData" localSheetId="2" hidden="1">'CONSOLIDADO DE INCIDENCIAS'!$A$1:$AC$205</definedName>
    <definedName name="Z_4E5EDA9F_A36F_445A_886D_3EEAB87FECC8_.wvu.FilterData" localSheetId="2" hidden="1">'CONSOLIDADO DE INCIDENCIAS'!$A$34:$T$172</definedName>
    <definedName name="Z_510F36EF_0F2F_4421_8AE2_42331185E17D_.wvu.FilterData" localSheetId="2" hidden="1">'CONSOLIDADO DE INCIDENCIAS'!$A$34:$V$205</definedName>
    <definedName name="Z_52D82730_8101_42C2_8356_45F6C23FB072_.wvu.FilterData" localSheetId="2" hidden="1">'CONSOLIDADO DE INCIDENCIAS'!$A$34:$AB$205</definedName>
    <definedName name="Z_5371A75B_87E1_4B09_A057_556485EA8892_.wvu.FilterData" localSheetId="2" hidden="1">'CONSOLIDADO DE INCIDENCIAS'!$A$34:$M$205</definedName>
    <definedName name="Z_5727B7AE_53CF_47FC_A192_2FFE798B15CD_.wvu.FilterData" localSheetId="2" hidden="1">'CONSOLIDADO DE INCIDENCIAS'!$A$34:$M$205</definedName>
    <definedName name="Z_572EF3AC_D508_4E63_B67A_DDBAEF024046_.wvu.FilterData" localSheetId="2" hidden="1">'CONSOLIDADO DE INCIDENCIAS'!$A$1:$AC$205</definedName>
    <definedName name="Z_5A77D55B_90AE_46C6_8056_00D7E95E5C7B_.wvu.FilterData" localSheetId="2" hidden="1">'CONSOLIDADO DE INCIDENCIAS'!$A$1:$AC$205</definedName>
    <definedName name="Z_61093876_A7FA_4A91_B12D_271A029B9412_.wvu.FilterData" localSheetId="2" hidden="1">'CONSOLIDADO DE INCIDENCIAS'!$A$34:$AB$205</definedName>
    <definedName name="Z_62ECBD26_DE1A_4178_9982_7FCE8B05620C_.wvu.FilterData" localSheetId="2" hidden="1">'CONSOLIDADO DE INCIDENCIAS'!$A$1:$AH$205</definedName>
    <definedName name="Z_636C691A_F644_47E2_8555_F838B7CB08FD_.wvu.FilterData" localSheetId="2" hidden="1">'CONSOLIDADO DE INCIDENCIAS'!$A$34:$AH$205</definedName>
    <definedName name="Z_664F371B_425E_46AA_A6B6_0A01DAFDE9D6_.wvu.FilterData" localSheetId="2" hidden="1">'CONSOLIDADO DE INCIDENCIAS'!$A$1:$AC$205</definedName>
    <definedName name="Z_7072D0E9_A8EB_4832_9DAA_09BCD4B1F142_.wvu.FilterData" localSheetId="2" hidden="1">'CONSOLIDADO DE INCIDENCIAS'!$A$34:$AB$205</definedName>
    <definedName name="Z_7187F25A_3EAF_42F1_AF8C_E58536792040_.wvu.FilterData" localSheetId="2" hidden="1">'CONSOLIDADO DE INCIDENCIAS'!$A$34:$AH$205</definedName>
    <definedName name="Z_71E9F136_BF55_4DE1_A35E_D0AE3E2D9B40_.wvu.FilterData" localSheetId="2" hidden="1">'CONSOLIDADO DE INCIDENCIAS'!$A$34:$AB$205</definedName>
    <definedName name="Z_7268DF11_EDD6_4B5B_BEC2_3DBDCD87AE74_.wvu.FilterData" localSheetId="2" hidden="1">'CONSOLIDADO DE INCIDENCIAS'!$AE$38</definedName>
    <definedName name="Z_7272C260_9D42_4FE7_AF5C_17DA2E6B1E3E_.wvu.FilterData" localSheetId="2" hidden="1">'CONSOLIDADO DE INCIDENCIAS'!$A$34:$M$205</definedName>
    <definedName name="Z_7284F595_B615_41DE_95E5_376C6CD6673F_.wvu.FilterData" localSheetId="2" hidden="1">'CONSOLIDADO DE INCIDENCIAS'!$A$34:$V$205</definedName>
    <definedName name="Z_75DACD84_E730_4FC8_9D84_6613B9F79DE4_.wvu.FilterData" localSheetId="2" hidden="1">'CONSOLIDADO DE INCIDENCIAS'!$A$34:$M$205</definedName>
    <definedName name="Z_78CA7D74_30CA_41F1_880F_D684FB45076B_.wvu.FilterData" localSheetId="2" hidden="1">'CONSOLIDADO DE INCIDENCIAS'!$B$42:$B$205</definedName>
    <definedName name="Z_7999E4B6_7D61_4AE0_ADF5_8A0A393A3158_.wvu.FilterData" localSheetId="2" hidden="1">'CONSOLIDADO DE INCIDENCIAS'!$A$1:$V$205</definedName>
    <definedName name="Z_7AB1E8AC_40AE_4C5C_9BDA_456DF484F5AC_.wvu.FilterData" localSheetId="2" hidden="1">'CONSOLIDADO DE INCIDENCIAS'!$A$34:$V$205</definedName>
    <definedName name="Z_7B5A7FEB_38C1_498D_A92D_CA397ABBAD58_.wvu.FilterData" localSheetId="2" hidden="1">'CONSOLIDADO DE INCIDENCIAS'!$A$34:$V$205</definedName>
    <definedName name="Z_7B675507_1C76_4C97_874C_76A779B09CAB_.wvu.FilterData" localSheetId="2" hidden="1">'CONSOLIDADO DE INCIDENCIAS'!$A$34:$V$205</definedName>
    <definedName name="Z_7D8F2336_9D3F_44C1_A24E_157AED1D31FC_.wvu.FilterData" localSheetId="2" hidden="1">'CONSOLIDADO DE INCIDENCIAS'!$A$34:$AB$205</definedName>
    <definedName name="Z_7F04ED7C_AC49_46EC_B849_703F10341C5D_.wvu.FilterData" localSheetId="2" hidden="1">'CONSOLIDADO DE INCIDENCIAS'!$A$1:$AA$35</definedName>
    <definedName name="Z_82E21F95_1658_417F_B1CA_2512C9DA8B72_.wvu.FilterData" localSheetId="2" hidden="1">'CONSOLIDADO DE INCIDENCIAS'!$A$34:$V$205</definedName>
    <definedName name="Z_8C3FD059_87C2_4AB8_A9B1_8503339D2B25_.wvu.FilterData" localSheetId="2" hidden="1">'CONSOLIDADO DE INCIDENCIAS'!$A$1:$AC$205</definedName>
    <definedName name="Z_8D8AE14E_EC20_440C_9C39_5BEA7CF5A04F_.wvu.FilterData" localSheetId="2" hidden="1">'CONSOLIDADO DE INCIDENCIAS'!$A$34:$O$48</definedName>
    <definedName name="Z_9153D549_821F_4323_ACFA_AD887DB51096_.wvu.FilterData" localSheetId="2" hidden="1">'CONSOLIDADO DE INCIDENCIAS'!$A$34:$M$205</definedName>
    <definedName name="Z_93ECD254_DE4D_4685_A725_C03982E2F41A_.wvu.FilterData" localSheetId="2" hidden="1">'CONSOLIDADO DE INCIDENCIAS'!$A$1:$AC$205</definedName>
    <definedName name="Z_941495F1_D6A5_472F_BEB0_6902BA9F7689_.wvu.FilterData" localSheetId="2" hidden="1">'CONSOLIDADO DE INCIDENCIAS'!$Y$1:$AC$6</definedName>
    <definedName name="Z_9606A4B3_1BC0_452F_883A_4EF796C71F74_.wvu.FilterData" localSheetId="2" hidden="1">'CONSOLIDADO DE INCIDENCIAS'!$A$1:$V$205</definedName>
    <definedName name="Z_971C5F02_9B1E_485C_B1A9_90404A374CF4_.wvu.FilterData" localSheetId="2" hidden="1">'CONSOLIDADO DE INCIDENCIAS'!$A$34:$M$205</definedName>
    <definedName name="Z_995C7FF4_C7C2_4A76_ADCF_BBE4ED920ED4_.wvu.FilterData" localSheetId="2" hidden="1">'CONSOLIDADO DE INCIDENCIAS'!$A$1:$M$205</definedName>
    <definedName name="Z_9AB29BC3_9A36_4807_9E18_226781CBDA38_.wvu.FilterData" localSheetId="2" hidden="1">'CONSOLIDADO DE INCIDENCIAS'!$A$34:$T$205</definedName>
    <definedName name="Z_9B1F8FA7_7628_4886_B11B_BEDED8C7DBA6_.wvu.FilterData" localSheetId="2" hidden="1">'CONSOLIDADO DE INCIDENCIAS'!$A$1:$M$205</definedName>
    <definedName name="Z_9CEF5B33_7819_45EA_942F_F973A16B062D_.wvu.FilterData" localSheetId="2" hidden="1">'CONSOLIDADO DE INCIDENCIAS'!$A$34:$M$205</definedName>
    <definedName name="Z_9F75FFB3_F1FD_4974_A8B3_7EA947D02A33_.wvu.FilterData" localSheetId="2" hidden="1">'CONSOLIDADO DE INCIDENCIAS'!$A$34:$V$205</definedName>
    <definedName name="Z_A50EDA5E_0A24_4646_BCC0_46E1AF7647AA_.wvu.FilterData" localSheetId="2" hidden="1">'CONSOLIDADO DE INCIDENCIAS'!$A$1:$AC$205</definedName>
    <definedName name="Z_A6288929_3BB3_40B5_902C_6E713599D7AE_.wvu.FilterData" localSheetId="2" hidden="1">'CONSOLIDADO DE INCIDENCIAS'!$A$1:$M$205</definedName>
    <definedName name="Z_AC42C643_2221_4965_AFA1_3F2281718069_.wvu.FilterData" localSheetId="2" hidden="1">'CONSOLIDADO DE INCIDENCIAS'!$A$34:$V$205</definedName>
    <definedName name="Z_AE376600_0DC7_44D2_94B2_2029C1D5E558_.wvu.FilterData" localSheetId="2" hidden="1">'CONSOLIDADO DE INCIDENCIAS'!$A$34:$V$205</definedName>
    <definedName name="Z_AE630A8F_EC20_43C5_8552_981385AA5F99_.wvu.FilterData" localSheetId="2" hidden="1">'CONSOLIDADO DE INCIDENCIAS'!$A$34:$T$205</definedName>
    <definedName name="Z_AF9F4FD4_CE6A_484A_BC37_B88B387A0E76_.wvu.FilterData" localSheetId="2" hidden="1">'CONSOLIDADO DE INCIDENCIAS'!$A$34:$M$205</definedName>
    <definedName name="Z_B162741D_8425_4252_BBD0_02C84E11E10D_.wvu.FilterData" localSheetId="2" hidden="1">'CONSOLIDADO DE INCIDENCIAS'!$A$1:$M$205</definedName>
    <definedName name="Z_B29F5A3D_C1CC_4C01_9094_3ED83635FF7A_.wvu.FilterData" localSheetId="2" hidden="1">'CONSOLIDADO DE INCIDENCIAS'!$W$34:$W$205</definedName>
    <definedName name="Z_B3EB6E87_762C_4DA1_9D1A_2D48EB032761_.wvu.FilterData" localSheetId="2" hidden="1">'CONSOLIDADO DE INCIDENCIAS'!$A$1:$AC$205</definedName>
    <definedName name="Z_B4306AB6_087F_4D43_854C_29674B567631_.wvu.FilterData" localSheetId="2" hidden="1">'CONSOLIDADO DE INCIDENCIAS'!$A$34:$AC$205</definedName>
    <definedName name="Z_B5E4F1A3_A1CE_4A78_A686_68FB57442A81_.wvu.FilterData" localSheetId="2" hidden="1">'CONSOLIDADO DE INCIDENCIAS'!$A$1:$AC$205</definedName>
    <definedName name="Z_B7459739_FF7B_43B3_B250_0DCF8416E401_.wvu.FilterData" localSheetId="2" hidden="1">'CONSOLIDADO DE INCIDENCIAS'!$A$34:$O$48</definedName>
    <definedName name="Z_B92DDE69_5E88_447B_AC8C_54227A5354D3_.wvu.FilterData" localSheetId="2" hidden="1">'CONSOLIDADO DE INCIDENCIAS'!$A$1:$AC$205</definedName>
    <definedName name="Z_B98AFEF4_BC2B_43A3_A2BA_F6114E6C2754_.wvu.FilterData" localSheetId="2" hidden="1">'CONSOLIDADO DE INCIDENCIAS'!$A$34:$T$205</definedName>
    <definedName name="Z_BB3A72A8_536B_4CEE_983B_3B1064B08189_.wvu.FilterData" localSheetId="2" hidden="1">'CONSOLIDADO DE INCIDENCIAS'!$T$34:$T$38</definedName>
    <definedName name="Z_BD7589DB_E533_4290_9606_AA69C7E4348C_.wvu.FilterData" localSheetId="2" hidden="1">'CONSOLIDADO DE INCIDENCIAS'!$A$34:$T$205</definedName>
    <definedName name="Z_BE65F6DD_399B_428E_BB3F_BCC96056DA57_.wvu.FilterData" localSheetId="2" hidden="1">'CONSOLIDADO DE INCIDENCIAS'!$A$1:$AH$205</definedName>
    <definedName name="Z_BF854CA7_F810_481B_96CA_127EB201C988_.wvu.FilterData" localSheetId="2" hidden="1">'CONSOLIDADO DE INCIDENCIAS'!$A$1:$V$205</definedName>
    <definedName name="Z_BFAD60BA_8618_4F78_92CE_83AE13F01A3B_.wvu.FilterData" localSheetId="2" hidden="1">'CONSOLIDADO DE INCIDENCIAS'!$A$1:$AC$205</definedName>
    <definedName name="Z_C2A4986B_5443_45E6_8E03_D7BBADA51C58_.wvu.FilterData" localSheetId="2" hidden="1">'CONSOLIDADO DE INCIDENCIAS'!$A$1:$AC$205</definedName>
    <definedName name="Z_C45F2CFE_D13D_411A_9969_62D37A4E659F_.wvu.FilterData" localSheetId="2" hidden="1">'CONSOLIDADO DE INCIDENCIAS'!$A$34:$T$205</definedName>
    <definedName name="Z_C6442E6F_776E_4212_847E_94DFDDF97E9C_.wvu.FilterData" localSheetId="2" hidden="1">'CONSOLIDADO DE INCIDENCIAS'!$A$34:$AH$205</definedName>
    <definedName name="Z_C64B538E_0962_4D5E_86E4_16DF91F67BB6_.wvu.FilterData" localSheetId="2" hidden="1">'CONSOLIDADO DE INCIDENCIAS'!$A$1:$AC$205</definedName>
    <definedName name="Z_C70E7553_7B63_426F_B13E_9BC43B57B462_.wvu.FilterData" localSheetId="2" hidden="1">'CONSOLIDADO DE INCIDENCIAS'!$A$1:$M$205</definedName>
    <definedName name="Z_C798109D_4604_4BCB_A03A_1A0B5730EEEA_.wvu.FilterData" localSheetId="2" hidden="1">'CONSOLIDADO DE INCIDENCIAS'!$A$1:$M$205</definedName>
    <definedName name="Z_CBE06436_1786_4100_8240_33A03D6341BB_.wvu.FilterData" localSheetId="2" hidden="1">'CONSOLIDADO DE INCIDENCIAS'!$A$1:$AC$205</definedName>
    <definedName name="Z_CC605D33_8F51_41B7_B31E_1B663A0C1CB8_.wvu.FilterData" localSheetId="2" hidden="1">'CONSOLIDADO DE INCIDENCIAS'!$A$34:$AB$205</definedName>
    <definedName name="Z_CE3CA79F_69BA_4F2C_8654_49489E9F990B_.wvu.FilterData" localSheetId="2" hidden="1">'CONSOLIDADO DE INCIDENCIAS'!$A$34:$AB$205</definedName>
    <definedName name="Z_D01923C6_A7EE_408C_833F_D29461704E70_.wvu.FilterData" localSheetId="2" hidden="1">'CONSOLIDADO DE INCIDENCIAS'!$W$205</definedName>
    <definedName name="Z_D032A9DB_4E25_40E7_ADF5_F6638E51FAFB_.wvu.FilterData" localSheetId="2" hidden="1">'CONSOLIDADO DE INCIDENCIAS'!$A$34:$T$205</definedName>
    <definedName name="Z_D1C575F5_1C84_4676_BF56_DBF11A7D392C_.wvu.FilterData" localSheetId="2" hidden="1">'CONSOLIDADO DE INCIDENCIAS'!$A$49:$X$205</definedName>
    <definedName name="Z_D244C322_20DC_49ED_91F3_CD1DE6B82879_.wvu.FilterData" localSheetId="2" hidden="1">'CONSOLIDADO DE INCIDENCIAS'!$A$34:$M$205</definedName>
    <definedName name="Z_D64303A7_008D_42DE_93C7_A25CF311B806_.wvu.FilterData" localSheetId="2" hidden="1">'CONSOLIDADO DE INCIDENCIAS'!$A$1:$V$205</definedName>
    <definedName name="Z_D7718746_2F54_4DFE_A769_D6472F3E6C0B_.wvu.FilterData" localSheetId="2" hidden="1">'CONSOLIDADO DE INCIDENCIAS'!$A$34:$AC$205</definedName>
    <definedName name="Z_D84CEC73_EE9D_4C60_BD3C_7ADE6B8942A3_.wvu.FilterData" localSheetId="2" hidden="1">'CONSOLIDADO DE INCIDENCIAS'!$A$1:$V$205</definedName>
    <definedName name="Z_D882DDE6_CE72_4198_BF6E_8949ECE51BD4_.wvu.FilterData" localSheetId="2" hidden="1">'CONSOLIDADO DE INCIDENCIAS'!$A$1:$M$205</definedName>
    <definedName name="Z_D8B6EA5F_A187_41FE_BB79_4E0A24DC82A6_.wvu.FilterData" localSheetId="2" hidden="1">'CONSOLIDADO DE INCIDENCIAS'!$A$1:$AC$205</definedName>
    <definedName name="Z_DB1FD483_6838_44DA_8553_3FBA6168CA60_.wvu.FilterData" localSheetId="2" hidden="1">'CONSOLIDADO DE INCIDENCIAS'!$A$34:$V$205</definedName>
    <definedName name="Z_DD03F7C5_881E_47D5_B147_00CDBDABBB1C_.wvu.FilterData" localSheetId="2" hidden="1">'CONSOLIDADO DE INCIDENCIAS'!$W$34:$W$205</definedName>
    <definedName name="Z_DF0CDE49_DB4F_4350_80A8_21AFE39CC53C_.wvu.FilterData" localSheetId="2" hidden="1">'CONSOLIDADO DE INCIDENCIAS'!$A$1:$AC$205</definedName>
    <definedName name="Z_E04BCF6F_DFDA_4386_A429_D8C54A0A8221_.wvu.FilterData" localSheetId="2" hidden="1">'CONSOLIDADO DE INCIDENCIAS'!$A$34:$M$205</definedName>
    <definedName name="Z_E1BBFA9A_8080_46FE_A961_BB23E161865A_.wvu.FilterData" localSheetId="2" hidden="1">'CONSOLIDADO DE INCIDENCIAS'!$W$34:$W$205</definedName>
    <definedName name="Z_E420F5C5_FA1C_45D4_85B1_40E41CD771D9_.wvu.FilterData" localSheetId="2" hidden="1">'CONSOLIDADO DE INCIDENCIAS'!$A$34:$O$205</definedName>
    <definedName name="Z_E44B98C0_844E_4F9B_B0CA_59B94217FA6D_.wvu.FilterData" localSheetId="2" hidden="1">'CONSOLIDADO DE INCIDENCIAS'!$A$1:$AC$205</definedName>
    <definedName name="Z_EA83768B_FD5D_4C67_B984_7D21B1EE700F_.wvu.FilterData" localSheetId="2" hidden="1">'CONSOLIDADO DE INCIDENCIAS'!$A$34:$AB$205</definedName>
    <definedName name="Z_F104EDCA_16C9_4782_BD8E_4BA1260CBFFE_.wvu.FilterData" localSheetId="2" hidden="1">'CONSOLIDADO DE INCIDENCIAS'!$A$1:$V$205</definedName>
    <definedName name="Z_F26DA7BC_EBF9_48D6_AD40_3714AF19063A_.wvu.FilterData" localSheetId="2" hidden="1">'CONSOLIDADO DE INCIDENCIAS'!$A$34:$V$48</definedName>
    <definedName name="Z_F56FB6B3_F666_4AA5_BA7D_7DC37E308C2C_.wvu.FilterData" localSheetId="2" hidden="1">'CONSOLIDADO DE INCIDENCIAS'!$A$34:$T$205</definedName>
    <definedName name="Z_F5B0A4A1_1151_497C_8044_D5F67182BB6B_.wvu.FilterData" localSheetId="2" hidden="1">'CONSOLIDADO DE INCIDENCIAS'!$B$42:$B$205</definedName>
    <definedName name="Z_F7CC633A_5F52_46D7_BDDD_28A7BEC85582_.wvu.FilterData" localSheetId="2" hidden="1">'CONSOLIDADO DE INCIDENCIAS'!$A$34:$AC$205</definedName>
    <definedName name="Z_F7E8F26E_8764_4FA2_A2A3_DA3698DA687E_.wvu.FilterData" localSheetId="2" hidden="1">'CONSOLIDADO DE INCIDENCIAS'!$Y$34:$AA$35</definedName>
    <definedName name="Z_F9DE771A_18A2_4404_962B_2DD44CB4E30D_.wvu.FilterData" localSheetId="2" hidden="1">'CONSOLIDADO DE INCIDENCIAS'!$A$34:$O$48</definedName>
    <definedName name="Z_FAEF2C7F_3C68_45C7_AFF8_3A03981A467E_.wvu.FilterData" localSheetId="2" hidden="1">'CONSOLIDADO DE INCIDENCIAS'!$A$1:$AH$205</definedName>
  </definedNames>
  <calcPr calcId="181029"/>
  <customWorkbookViews>
    <customWorkbookView name="Filter 75" guid="{8D8AE14E-EC20-440C-9C39-5BEA7CF5A04F}" maximized="1" windowWidth="0" windowHeight="0" activeSheetId="0"/>
    <customWorkbookView name="Filter 90" guid="{D7718746-2F54-4DFE-A769-D6472F3E6C0B}" maximized="1" windowWidth="0" windowHeight="0" activeSheetId="0"/>
    <customWorkbookView name="Filter 68" guid="{F26DA7BC-EBF9-48D6-AD40-3714AF19063A}" maximized="1" windowWidth="0" windowHeight="0" activeSheetId="0"/>
    <customWorkbookView name="Filter 61" guid="{B29F5A3D-C1CC-4C01-9094-3ED83635FF7A}" maximized="1" windowWidth="0" windowHeight="0" activeSheetId="0"/>
    <customWorkbookView name="Filter 14" guid="{C45F2CFE-D13D-411A-9969-62D37A4E659F}" maximized="1" windowWidth="0" windowHeight="0" activeSheetId="0"/>
    <customWorkbookView name="Filter 2" guid="{1187F710-8C93-4B53-A6DF-7457530643E4}" maximized="1" windowWidth="0" windowHeight="0" activeSheetId="0"/>
    <customWorkbookView name="Filter 137" guid="{62ECBD26-DE1A-4178-9982-7FCE8B05620C}" maximized="1" windowWidth="0" windowHeight="0" activeSheetId="0"/>
    <customWorkbookView name="Filter 59" guid="{E1BBFA9A-8080-46FE-A961-BB23E161865A}" maximized="1" windowWidth="0" windowHeight="0" activeSheetId="0"/>
    <customWorkbookView name="Filter 133" guid="{9B1F8FA7-7628-4886-B11B-BEDED8C7DBA6}" maximized="1" windowWidth="0" windowHeight="0" activeSheetId="0"/>
    <customWorkbookView name="Filter 132" guid="{995C7FF4-C7C2-4A76-ADCF-BBE4ED920ED4}" maximized="1" windowWidth="0" windowHeight="0" activeSheetId="0"/>
    <customWorkbookView name="Filter 24" guid="{AE376600-0DC7-44D2-94B2-2029C1D5E558}" maximized="1" windowWidth="0" windowHeight="0" activeSheetId="0"/>
    <customWorkbookView name="Filter 32" guid="{510F36EF-0F2F-4421-8AE2-42331185E17D}" maximized="1" windowWidth="0" windowHeight="0" activeSheetId="0"/>
    <customWorkbookView name="Katy" guid="{BE65F6DD-399B-428E-BB3F-BCC96056DA57}" maximized="1" windowWidth="0" windowHeight="0" activeSheetId="0"/>
    <customWorkbookView name="Filter 70" guid="{3A6B1647-FE81-4D08-93FF-8878C0A8F211}" maximized="1" windowWidth="0" windowHeight="0" activeSheetId="0"/>
    <customWorkbookView name="Filter 102" guid="{022B7002-BF2C-467C-94C6-2F4B1957B723}" maximized="1" windowWidth="0" windowHeight="0" activeSheetId="0"/>
    <customWorkbookView name="Filter 73" guid="{B7459739-FF7B-43B3-B250-0DCF8416E401}" maximized="1" windowWidth="0" windowHeight="0" activeSheetId="0"/>
    <customWorkbookView name="Filter 124" guid="{572EF3AC-D508-4E63-B67A-DDBAEF024046}" maximized="1" windowWidth="0" windowHeight="0" activeSheetId="0"/>
    <customWorkbookView name="Filter 22" guid="{2F8F6613-367B-4DCA-AEBA-E7517ACEC861}" maximized="1" windowWidth="0" windowHeight="0" activeSheetId="0"/>
    <customWorkbookView name="Filter 126" guid="{C798109D-4604-4BCB-A03A-1A0B5730EEEA}" maximized="1" windowWidth="0" windowHeight="0" activeSheetId="0"/>
    <customWorkbookView name="Filter 94" guid="{7268DF11-EDD6-4B5B-BEC2-3DBDCD87AE74}" maximized="1" windowWidth="0" windowHeight="0" activeSheetId="0"/>
    <customWorkbookView name="Filter 60" guid="{DD03F7C5-881E-47D5-B147-00CDBDABBB1C}" maximized="1" windowWidth="0" windowHeight="0" activeSheetId="0"/>
    <customWorkbookView name="Filter 20" guid="{BB3A72A8-536B-4CEE-983B-3B1064B08189}" maximized="1" windowWidth="0" windowHeight="0" activeSheetId="0"/>
    <customWorkbookView name="Filter 47" guid="{75DACD84-E730-4FC8-9D84-6613B9F79DE4}" maximized="1" windowWidth="0" windowHeight="0" activeSheetId="0"/>
    <customWorkbookView name="Filter 31" guid="{3CF00FDE-7551-417F-A3B7-071FB8CAD5A6}" maximized="1" windowWidth="0" windowHeight="0" activeSheetId="0"/>
    <customWorkbookView name="Filter 34" guid="{9CEF5B33-7819-45EA-942F-F973A16B062D}" maximized="1" windowWidth="0" windowHeight="0" activeSheetId="0"/>
    <customWorkbookView name="Filter 37" guid="{36F164B3-D871-43E5-A9AC-A6B23943FEEB}" maximized="1" windowWidth="0" windowHeight="0" activeSheetId="0"/>
    <customWorkbookView name="Filter 39" guid="{DB1FD483-6838-44DA-8553-3FBA6168CA60}" maximized="1" windowWidth="0" windowHeight="0" activeSheetId="0"/>
    <customWorkbookView name="Filter 11" guid="{78CA7D74-30CA-41F1-880F-D684FB45076B}" maximized="1" windowWidth="0" windowHeight="0" activeSheetId="0"/>
    <customWorkbookView name="Filter 71" guid="{F9DE771A-18A2-4404-962B-2DD44CB4E30D}" maximized="1" windowWidth="0" windowHeight="0" activeSheetId="0"/>
    <customWorkbookView name="Filter 113" guid="{BFAD60BA-8618-4F78-92CE-83AE13F01A3B}" maximized="1" windowWidth="0" windowHeight="0" activeSheetId="0"/>
    <customWorkbookView name="Filter 9" guid="{F5B0A4A1-1151-497C-8044-D5F67182BB6B}" maximized="1" windowWidth="0" windowHeight="0" activeSheetId="0"/>
    <customWorkbookView name="Filter 40" guid="{053C502E-8A07-4287-9848-FA53BEF25CDC}" maximized="1" windowWidth="0" windowHeight="0" activeSheetId="0"/>
    <customWorkbookView name="Filter 30" guid="{F7E8F26E-8764-4FA2-A2A3-DA3698DA687E}" maximized="1" windowWidth="0" windowHeight="0" activeSheetId="0"/>
    <customWorkbookView name="Filter 105" guid="{415177D4-69C6-49B2-AC44-16824A0261AD}" maximized="1" windowWidth="0" windowHeight="0" activeSheetId="0"/>
    <customWorkbookView name="Filter 58" guid="{D244C322-20DC-49ED-91F3-CD1DE6B82879}" maximized="1" windowWidth="0" windowHeight="0" activeSheetId="0"/>
    <customWorkbookView name="Filter 35" guid="{7B675507-1C76-4C97-874C-76A779B09CAB}" maximized="1" windowWidth="0" windowHeight="0" activeSheetId="0"/>
    <customWorkbookView name="Filter 78" guid="{B4306AB6-087F-4D43-854C-29674B567631}" maximized="1" windowWidth="0" windowHeight="0" activeSheetId="0"/>
    <customWorkbookView name="Filter 129" guid="{F104EDCA-16C9-4782-BD8E-4BA1260CBFFE}" maximized="1" windowWidth="0" windowHeight="0" activeSheetId="0"/>
    <customWorkbookView name="Filter 18" guid="{BD7589DB-E533-4290-9606-AA69C7E4348C}" maximized="1" windowWidth="0" windowHeight="0" activeSheetId="0"/>
    <customWorkbookView name="Filter 4" guid="{114F6802-2197-4322-B73A-0FC23C08550B}" maximized="1" windowWidth="0" windowHeight="0" activeSheetId="0"/>
    <customWorkbookView name="Filter 1" guid="{4E5EDA9F-A36F-445A-886D-3EEAB87FECC8}" maximized="1" windowWidth="0" windowHeight="0" activeSheetId="0"/>
    <customWorkbookView name="Filter 10" guid="{1FD4AC56-906D-4D4D-8534-FFCD905BEAB1}" maximized="1" windowWidth="0" windowHeight="0" activeSheetId="0"/>
    <customWorkbookView name="Filter 138" guid="{7999E4B6-7D61-4AE0-ADF5-8A0A393A3158}" maximized="1" windowWidth="0" windowHeight="0" activeSheetId="0"/>
    <customWorkbookView name="Filter 131" guid="{5A77D55B-90AE-46C6-8056-00D7E95E5C7B}" maximized="1" windowWidth="0" windowHeight="0" activeSheetId="0"/>
    <customWorkbookView name="Filtro 2" guid="{3118B097-E2D5-4853-9ECC-4F918F82032A}" maximized="1" windowWidth="0" windowHeight="0" activeSheetId="0"/>
    <customWorkbookView name="Filter 67" guid="{9153D549-821F-4323-ACFA-AD887DB51096}" maximized="1" windowWidth="0" windowHeight="0" activeSheetId="0"/>
    <customWorkbookView name="Filter 45" guid="{7272C260-9D42-4FE7-AF5C-17DA2E6B1E3E}" maximized="1" windowWidth="0" windowHeight="0" activeSheetId="0"/>
    <customWorkbookView name="Filter 118" guid="{9606A4B3-1BC0-452F-883A-4EF796C71F74}" maximized="1" windowWidth="0" windowHeight="0" activeSheetId="0"/>
    <customWorkbookView name="Filter 107" guid="{4693FF95-89F1-49D1-A143-D590B5504BB9}" maximized="1" windowWidth="0" windowHeight="0" activeSheetId="0"/>
    <customWorkbookView name="Filter 103" guid="{083EE738-64D6-4E61-826A-8DE1537EB8D2}" maximized="1" windowWidth="0" windowHeight="0" activeSheetId="0"/>
    <customWorkbookView name="Filter 128" guid="{C2A4986B-5443-45E6-8E03-D7BBADA51C58}" maximized="1" windowWidth="0" windowHeight="0" activeSheetId="0"/>
    <customWorkbookView name="Filter 19" guid="{15081274-07BD-4195-B8A0-FEF6F2D55112}" maximized="1" windowWidth="0" windowHeight="0" activeSheetId="0"/>
    <customWorkbookView name="Filter 42" guid="{71E9F136-BF55-4DE1-A35E-D0AE3E2D9B40}" maximized="1" windowWidth="0" windowHeight="0" activeSheetId="0"/>
    <customWorkbookView name="Filter 97" guid="{26BE083E-F813-43CD-8080-176AC71EC6B1}" maximized="1" windowWidth="0" windowHeight="0" activeSheetId="0"/>
    <customWorkbookView name="Filter 116" guid="{05F2F1B6-41D6-4FE2-8B6F-005B78715AF3}" maximized="1" windowWidth="0" windowHeight="0" activeSheetId="0"/>
    <customWorkbookView name="Filter 122" guid="{21D3ABEC-E9B8-4B9E-B21F-3A1E35E59296}" maximized="1" windowWidth="0" windowHeight="0" activeSheetId="0"/>
    <customWorkbookView name="Filter 55" guid="{52D82730-8101-42C2-8356-45F6C23FB072}" maximized="1" windowWidth="0" windowHeight="0" activeSheetId="0"/>
    <customWorkbookView name="Filter 119" guid="{941495F1-D6A5-472F-BEB0-6902BA9F7689}" maximized="1" windowWidth="0" windowHeight="0" activeSheetId="0"/>
    <customWorkbookView name="Filter 25" guid="{7284F595-B615-41DE-95E5-376C6CD6673F}" maximized="1" windowWidth="0" windowHeight="0" activeSheetId="0"/>
    <customWorkbookView name="Filter 112" guid="{BF854CA7-F810-481B-96CA-127EB201C988}" maximized="1" windowWidth="0" windowHeight="0" activeSheetId="0"/>
    <customWorkbookView name="Filtro 1" guid="{4C23C600-26F2-4062-8D06-D7DF755CD599}" maximized="1" windowWidth="0" windowHeight="0" activeSheetId="0"/>
    <customWorkbookView name="Filter 104" guid="{B162741D-8425-4252-BBD0-02C84E11E10D}" maximized="1" windowWidth="0" windowHeight="0" activeSheetId="0"/>
    <customWorkbookView name="Filtro 5" guid="{35895A84-4FC6-4B15-A2A8-F8E79622C3D5}" maximized="1" windowWidth="0" windowHeight="0" activeSheetId="0"/>
    <customWorkbookView name="Filter 13" guid="{1E107AD8-4A76-44CE-A9E1-AC0B663F3D7A}" maximized="1" windowWidth="0" windowHeight="0" activeSheetId="0"/>
    <customWorkbookView name="Filter JVF" guid="{E04BCF6F-DFDA-4386-A429-D8C54A0A8221}" maximized="1" windowWidth="0" windowHeight="0" activeSheetId="0"/>
    <customWorkbookView name="Filter 110" guid="{0D3440E2-FC27-4522-BB39-DF9F0B4D5D72}" maximized="1" windowWidth="0" windowHeight="0" activeSheetId="0"/>
    <customWorkbookView name="Filter 69" guid="{D1C575F5-1C84-4676-BF56-DBF11A7D392C}" maximized="1" windowWidth="0" windowHeight="0" activeSheetId="0"/>
    <customWorkbookView name="Filter 3" guid="{B98AFEF4-BC2B-43A3-A2BA-F6114E6C2754}" maximized="1" windowWidth="0" windowHeight="0" activeSheetId="0"/>
    <customWorkbookView name="Filter 114" guid="{276671E9-83F3-4274-8123-98123DFEA35E}" maximized="1" windowWidth="0" windowHeight="0" activeSheetId="0"/>
    <customWorkbookView name="Filter 135" guid="{CBE06436-1786-4100-8240-33A03D6341BB}" maximized="1" windowWidth="0" windowHeight="0" activeSheetId="0"/>
    <customWorkbookView name="Filter 127" guid="{B3EB6E87-762C-4DA1-9D1A-2D48EB032761}" maximized="1" windowWidth="0" windowHeight="0" activeSheetId="0"/>
    <customWorkbookView name="Filter 8" guid="{1A78E216-AD46-44A0-9060-262F73619572}" maximized="1" windowWidth="0" windowHeight="0" activeSheetId="0"/>
    <customWorkbookView name="Filter 92" guid="{1012F98C-3763-4EDE-B5D5-20FE546E5D46}" maximized="1" windowWidth="0" windowHeight="0" activeSheetId="0"/>
    <customWorkbookView name="Filter 29" guid="{5371A75B-87E1-4B09-A057-556485EA8892}" maximized="1" windowWidth="0" windowHeight="0" activeSheetId="0"/>
    <customWorkbookView name="Filter 23" guid="{82E21F95-1658-417F-B1CA-2512C9DA8B72}" maximized="1" windowWidth="0" windowHeight="0" activeSheetId="0"/>
    <customWorkbookView name="Filter 106" guid="{B92DDE69-5E88-447B-AC8C-54227A5354D3}" maximized="1" windowWidth="0" windowHeight="0" activeSheetId="0"/>
    <customWorkbookView name="Filter 134" guid="{C70E7553-7B63-426F-B13E-9BC43B57B462}" maximized="1" windowWidth="0" windowHeight="0" activeSheetId="0"/>
    <customWorkbookView name="Filtro 6" guid="{7F04ED7C-AC49-46EC-B849-703F10341C5D}" maximized="1" windowWidth="0" windowHeight="0" activeSheetId="0"/>
    <customWorkbookView name="Filter 139" guid="{E44B98C0-844E-4F9B-B0CA-59B94217FA6D}" maximized="1" windowWidth="0" windowHeight="0" activeSheetId="0"/>
    <customWorkbookView name="Filter 50" guid="{61093876-A7FA-4A91-B12D-271A029B9412}" maximized="1" windowWidth="0" windowHeight="0" activeSheetId="0"/>
    <customWorkbookView name="Filter 17" guid="{9AB29BC3-9A36-4807-9E18-226781CBDA38}" maximized="1" windowWidth="0" windowHeight="0" activeSheetId="0"/>
    <customWorkbookView name="Filter 21" guid="{7AB1E8AC-40AE-4C5C-9BDA-456DF484F5AC}" maximized="1" windowWidth="0" windowHeight="0" activeSheetId="0"/>
    <customWorkbookView name="Filter 142" guid="{33F92E74-8D12-4DBD-BE96-35943AA5CB92}" maximized="1" windowWidth="0" windowHeight="0" activeSheetId="0"/>
    <customWorkbookView name="Filter 111" guid="{D84CEC73-EE9D-4C60-BD3C-7ADE6B8942A3}" maximized="1" windowWidth="0" windowHeight="0" activeSheetId="0"/>
    <customWorkbookView name="Filter 27" guid="{16F4301D-B836-42F7-8020-2803956B914A}" maximized="1" windowWidth="0" windowHeight="0" activeSheetId="0"/>
    <customWorkbookView name="Filter 120" guid="{8C3FD059-87C2-4AB8-A9B1-8503339D2B25}" maximized="1" windowWidth="0" windowHeight="0" activeSheetId="0"/>
    <customWorkbookView name="Filter 12" guid="{D032A9DB-4E25-40E7-ADF5-F6638E51FAFB}" maximized="1" windowWidth="0" windowHeight="0" activeSheetId="0"/>
    <customWorkbookView name="Filter 62" guid="{031DCFBF-D9DE-47C6-9728-A245B3E32D0E}" maximized="1" windowWidth="0" windowHeight="0" activeSheetId="0"/>
    <customWorkbookView name="Filter 52" guid="{1C8DE838-11D6-4F8D-A300-0436111F4A12}" maximized="1" windowWidth="0" windowHeight="0" activeSheetId="0"/>
    <customWorkbookView name="Filter 98" guid="{B5E4F1A3-A1CE-4A78-A686-68FB57442A81}" maximized="1" windowWidth="0" windowHeight="0" activeSheetId="0"/>
    <customWorkbookView name="Filter 63" guid="{09C98F4F-9DB4-46CA-B54D-4A2995F0F31F}" maximized="1" windowWidth="0" windowHeight="0" activeSheetId="0"/>
    <customWorkbookView name="Filter 130" guid="{D8B6EA5F-A187-41FE-BB79-4E0A24DC82A6}" maximized="1" windowWidth="0" windowHeight="0" activeSheetId="0"/>
    <customWorkbookView name="Filter 57" guid="{CE3CA79F-69BA-4F2C-8654-49489E9F990B}" maximized="1" windowWidth="0" windowHeight="0" activeSheetId="0"/>
    <customWorkbookView name="Filter 115" guid="{664F371B-425E-46AA-A6B6-0A01DAFDE9D6}" maximized="1" windowWidth="0" windowHeight="0" activeSheetId="0"/>
    <customWorkbookView name="Filter 101" guid="{A50EDA5E-0A24-4646-BCC0-46E1AF7647AA}" maximized="1" windowWidth="0" windowHeight="0" activeSheetId="0"/>
    <customWorkbookView name="Filter 53" guid="{1A99267A-0283-4461-BF75-71DA22AC7D08}" maximized="1" windowWidth="0" windowHeight="0" activeSheetId="0"/>
    <customWorkbookView name="Filter 5" guid="{AF9F4FD4-CE6A-484A-BC37-B88B387A0E76}" maximized="1" windowWidth="0" windowHeight="0" activeSheetId="0"/>
    <customWorkbookView name="Filter 125" guid="{93ECD254-DE4D-4685-A725-C03982E2F41A}" maximized="1" windowWidth="0" windowHeight="0" activeSheetId="0"/>
    <customWorkbookView name="Filter 56" guid="{CC605D33-8F51-41B7-B31E-1B663A0C1CB8}" maximized="1" windowWidth="0" windowHeight="0" activeSheetId="0"/>
    <customWorkbookView name="Filter 136" guid="{3785B557-4AE9-4AF6-A2C2-13FE9E0136EA}" maximized="1" windowWidth="0" windowHeight="0" activeSheetId="0"/>
    <customWorkbookView name="Filter 140" guid="{D882DDE6-CE72-4198-BF6E-8949ECE51BD4}" maximized="1" windowWidth="0" windowHeight="0" activeSheetId="0"/>
    <customWorkbookView name="Filter 65" guid="{7072D0E9-A8EB-4832-9DAA-09BCD4B1F142}" maximized="1" windowWidth="0" windowHeight="0" activeSheetId="0"/>
    <customWorkbookView name="Filter 87" guid="{E420F5C5-FA1C-45D4-85B1-40E41CD771D9}" maximized="1" windowWidth="0" windowHeight="0" activeSheetId="0"/>
    <customWorkbookView name="Filter 64" guid="{EA83768B-FD5D-4C67-B984-7D21B1EE700F}" maximized="1" windowWidth="0" windowHeight="0" activeSheetId="0"/>
    <customWorkbookView name="Filter 6" guid="{AE630A8F-EC20-43C5-8552-981385AA5F99}" maximized="1" windowWidth="0" windowHeight="0" activeSheetId="0"/>
    <customWorkbookView name="Filter 72" guid="{128F9D38-1393-4A5A-8793-FA346A5557C6}" maximized="1" windowWidth="0" windowHeight="0" activeSheetId="0"/>
    <customWorkbookView name="Filtro 3" guid="{A6288929-3BB3-40B5-902C-6E713599D7AE}" maximized="1" windowWidth="0" windowHeight="0" activeSheetId="0"/>
    <customWorkbookView name="Filter 123" guid="{3975D1DF-8296-445E-A42B-725F6FF47E60}" maximized="1" windowWidth="0" windowHeight="0" activeSheetId="0"/>
    <customWorkbookView name="Filter 15" guid="{F56FB6B3-F666-4AA5-BA7D-7DC37E308C2C}" maximized="1" windowWidth="0" windowHeight="0" activeSheetId="0"/>
    <customWorkbookView name="Filter 121" guid="{0664A433-8342-47CF-996F-52A146D92FFA}" maximized="1" windowWidth="0" windowHeight="0" activeSheetId="0"/>
    <customWorkbookView name="Filter 41" guid="{0F4A1A03-8A66-493D-AD63-B9D2D2F331E5}" maximized="1" windowWidth="0" windowHeight="0" activeSheetId="0"/>
    <customWorkbookView name="Filter 117" guid="{C64B538E-0962-4D5E-86E4-16DF91F67BB6}" maximized="1" windowWidth="0" windowHeight="0" activeSheetId="0"/>
    <customWorkbookView name="Filter 96" guid="{FAEF2C7F-3C68-45C7-AFF8-3A03981A467E}" maximized="1" windowWidth="0" windowHeight="0" activeSheetId="0"/>
    <customWorkbookView name="Filter 108" guid="{D64303A7-008D-42DE-93C7-A25CF311B806}" maximized="1" windowWidth="0" windowHeight="0" activeSheetId="0"/>
    <customWorkbookView name="Filtro 4" guid="{399CA99F-CCAB-41B7-A86F-4A8915850AD8}" maximized="1" windowWidth="0" windowHeight="0" activeSheetId="0"/>
    <customWorkbookView name="Filter 141" guid="{46F690DE-B704-4543-ADDC-843710AE2022}" maximized="1" windowWidth="0" windowHeight="0" activeSheetId="0"/>
    <customWorkbookView name="Filter 46" guid="{C6442E6F-776E-4212-847E-94DFDDF97E9C}" maximized="1" windowWidth="0" windowHeight="0" activeSheetId="0"/>
    <customWorkbookView name="Filter 99" guid="{207366EA-06E5-4A7A-A8D5-930D94B44938}" maximized="1" windowWidth="0" windowHeight="0" activeSheetId="0"/>
    <customWorkbookView name="Filter 51" guid="{7D8F2336-9D3F-44C1-A24E-157AED1D31FC}" maximized="1" windowWidth="0" windowHeight="0" activeSheetId="0"/>
    <customWorkbookView name="Filter 36" guid="{9F75FFB3-F1FD-4974-A8B3-7EA947D02A33}" maximized="1" windowWidth="0" windowHeight="0" activeSheetId="0"/>
    <customWorkbookView name="Filter 28" guid="{5727B7AE-53CF-47FC-A192-2FFE798B15CD}" maximized="1" windowWidth="0" windowHeight="0" activeSheetId="0"/>
    <customWorkbookView name="Filter 33" guid="{AC42C643-2221-4965-AFA1-3F2281718069}" maximized="1" windowWidth="0" windowHeight="0" activeSheetId="0"/>
    <customWorkbookView name="Filter 76" guid="{636C691A-F644-47E2-8555-F838B7CB08FD}" maximized="1" windowWidth="0" windowHeight="0" activeSheetId="0"/>
    <customWorkbookView name="Filter 77" guid="{14B5872E-AC42-46F2-A978-C2125F6F2A00}" maximized="1" windowWidth="0" windowHeight="0" activeSheetId="0"/>
    <customWorkbookView name="Filter 109" guid="{09E5EA25-4EA2-495A-8983-EE3B02D31F2C}" maximized="1" windowWidth="0" windowHeight="0" activeSheetId="0"/>
    <customWorkbookView name="Filter 66" guid="{D01923C6-A7EE-408C-833F-D29461704E70}" maximized="1" windowWidth="0" windowHeight="0" activeSheetId="0"/>
    <customWorkbookView name="Filter 100" guid="{DF0CDE49-DB4F-4350-80A8-21AFE39CC53C}" maximized="1" windowWidth="0" windowHeight="0" activeSheetId="0"/>
    <customWorkbookView name="Filter 74" guid="{2616F909-F6A8-4875-92F1-7489011979BE}" maximized="1" windowWidth="0" windowHeight="0" activeSheetId="0"/>
    <customWorkbookView name="Filter 81" guid="{0D6C0055-A8FD-46C4-B2B7-CE5CC0B77CA1}" maximized="1" windowWidth="0" windowHeight="0" activeSheetId="0"/>
    <customWorkbookView name="Filter 88" guid="{16E4E86E-1438-468A-A344-51769E38771E}" maximized="1" windowWidth="0" windowHeight="0" activeSheetId="0"/>
    <customWorkbookView name="Filter 49" guid="{971C5F02-9B1E-485C-B1A9-90404A374CF4}" maximized="1" windowWidth="0" windowHeight="0" activeSheetId="0"/>
    <customWorkbookView name="Filter 54" guid="{181AD504-66D9-4767-A682-83F62E4814B8}" maximized="1" windowWidth="0" windowHeight="0" activeSheetId="0"/>
    <customWorkbookView name="Filter 95" guid="{F7CC633A-5F52-46D7-BDDD-28A7BEC85582}" maximized="1" windowWidth="0" windowHeight="0" activeSheetId="0"/>
    <customWorkbookView name="CUS-27" guid="{7187F25A-3EAF-42F1-AF8C-E58536792040}" maximized="1" windowWidth="0" windowHeight="0" activeSheetId="0"/>
    <customWorkbookView name="Filter 26" guid="{7B5A7FEB-38C1-498D-A92D-CA397ABBAD58}" maximized="1" windowWidth="0" windowHeight="0" activeSheetId="0"/>
  </customWorkbookViews>
  <extLst>
    <ext uri="GoogleSheetsCustomDataVersion2">
      <go:sheetsCustomData xmlns:go="http://customooxmlschemas.google.com/" r:id="rId7" roundtripDataChecksum="L91jUO6aeExBdgg20PdtxTAsQa9evv9/Ce4jeESn5DA="/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2" i="3"/>
  <c r="F8" i="2" l="1"/>
  <c r="C12" i="2"/>
  <c r="D12" i="2"/>
  <c r="L12" i="2" s="1"/>
  <c r="F12" i="2"/>
  <c r="C13" i="2"/>
  <c r="D13" i="2"/>
  <c r="M13" i="2" s="1"/>
  <c r="F13" i="2"/>
  <c r="C14" i="2"/>
  <c r="D14" i="2"/>
  <c r="M14" i="2" s="1"/>
  <c r="F14" i="2"/>
  <c r="C15" i="2"/>
  <c r="D15" i="2"/>
  <c r="M15" i="2" s="1"/>
  <c r="F15" i="2"/>
  <c r="C16" i="2"/>
  <c r="D16" i="2"/>
  <c r="M16" i="2" s="1"/>
  <c r="F16" i="2"/>
  <c r="C7" i="2"/>
  <c r="D7" i="2"/>
  <c r="L7" i="2" s="1"/>
  <c r="F7" i="2"/>
  <c r="C8" i="2"/>
  <c r="D8" i="2"/>
  <c r="M8" i="2" s="1"/>
  <c r="C9" i="2"/>
  <c r="D9" i="2"/>
  <c r="L9" i="2" s="1"/>
  <c r="F9" i="2"/>
  <c r="C10" i="2"/>
  <c r="D10" i="2"/>
  <c r="L10" i="2" s="1"/>
  <c r="F10" i="2"/>
  <c r="C11" i="2"/>
  <c r="D11" i="2"/>
  <c r="M11" i="2" s="1"/>
  <c r="F11" i="2"/>
  <c r="F6" i="2"/>
  <c r="D6" i="2"/>
  <c r="C6" i="2"/>
  <c r="O2" i="3"/>
  <c r="O3" i="3"/>
  <c r="O4" i="3"/>
  <c r="O5" i="3"/>
  <c r="O6" i="3"/>
  <c r="F11" i="1"/>
  <c r="F10" i="1"/>
  <c r="F9" i="1"/>
  <c r="F8" i="1"/>
  <c r="F7" i="1"/>
  <c r="F6" i="1"/>
  <c r="F5" i="1"/>
  <c r="M21" i="2"/>
  <c r="L21" i="2"/>
  <c r="K21" i="2" a="1"/>
  <c r="K21" i="2" s="1"/>
  <c r="J21" i="2" a="1"/>
  <c r="J21" i="2" s="1"/>
  <c r="I21" i="2" a="1"/>
  <c r="I21" i="2" s="1"/>
  <c r="M20" i="2"/>
  <c r="L20" i="2"/>
  <c r="K20" i="2" a="1"/>
  <c r="K20" i="2" s="1"/>
  <c r="J20" i="2" a="1"/>
  <c r="J20" i="2" s="1"/>
  <c r="I20" i="2" a="1"/>
  <c r="I20" i="2" s="1"/>
  <c r="M18" i="2"/>
  <c r="L18" i="2"/>
  <c r="K18" i="2" a="1"/>
  <c r="K18" i="2" s="1"/>
  <c r="J18" i="2" a="1"/>
  <c r="J18" i="2" s="1"/>
  <c r="I18" i="2" a="1"/>
  <c r="I18" i="2" s="1"/>
  <c r="M24" i="2"/>
  <c r="L24" i="2"/>
  <c r="K24" i="2" a="1"/>
  <c r="K24" i="2" s="1"/>
  <c r="J24" i="2" a="1"/>
  <c r="J24" i="2" s="1"/>
  <c r="I24" i="2" a="1"/>
  <c r="I24" i="2" s="1"/>
  <c r="M23" i="2"/>
  <c r="L23" i="2"/>
  <c r="K23" i="2" a="1"/>
  <c r="K23" i="2" s="1"/>
  <c r="J23" i="2" a="1"/>
  <c r="J23" i="2" s="1"/>
  <c r="I23" i="2" a="1"/>
  <c r="I23" i="2" s="1"/>
  <c r="M22" i="2"/>
  <c r="L22" i="2"/>
  <c r="K22" i="2" a="1"/>
  <c r="K22" i="2" s="1"/>
  <c r="J22" i="2" a="1"/>
  <c r="J22" i="2" s="1"/>
  <c r="I22" i="2" a="1"/>
  <c r="I22" i="2" s="1"/>
  <c r="M19" i="2"/>
  <c r="L19" i="2"/>
  <c r="K19" i="2" a="1"/>
  <c r="K19" i="2" s="1"/>
  <c r="J19" i="2" a="1"/>
  <c r="J19" i="2" s="1"/>
  <c r="I19" i="2" a="1"/>
  <c r="I19" i="2" s="1"/>
  <c r="M17" i="2"/>
  <c r="L17" i="2"/>
  <c r="K17" i="2" a="1"/>
  <c r="K17" i="2" s="1"/>
  <c r="J17" i="2" a="1"/>
  <c r="J17" i="2" s="1"/>
  <c r="I17" i="2" a="1"/>
  <c r="I17" i="2" s="1"/>
  <c r="K16" i="2" a="1"/>
  <c r="J16" i="2" a="1"/>
  <c r="I16" i="2" a="1"/>
  <c r="I16" i="2" s="1"/>
  <c r="K15" i="2" a="1"/>
  <c r="J15" i="2" a="1"/>
  <c r="I15" i="2" a="1"/>
  <c r="K14" i="2" a="1"/>
  <c r="J14" i="2" a="1"/>
  <c r="I14" i="2" a="1"/>
  <c r="J13" i="2" a="1"/>
  <c r="J13" i="2" s="1"/>
  <c r="I13" i="2" a="1"/>
  <c r="I13" i="2" s="1"/>
  <c r="M12" i="2"/>
  <c r="K12" i="2" a="1"/>
  <c r="J12" i="2" a="1"/>
  <c r="I12" i="2" a="1"/>
  <c r="K11" i="2" a="1"/>
  <c r="J11" i="2" a="1"/>
  <c r="I11" i="2" a="1"/>
  <c r="X10" i="2"/>
  <c r="W10" i="2"/>
  <c r="V10" i="2"/>
  <c r="U10" i="2"/>
  <c r="T10" i="2"/>
  <c r="S10" i="2"/>
  <c r="M10" i="2"/>
  <c r="K10" i="2" a="1"/>
  <c r="J10" i="2" a="1"/>
  <c r="I10" i="2" a="1"/>
  <c r="I10" i="2" s="1"/>
  <c r="X9" i="2"/>
  <c r="W9" i="2"/>
  <c r="V9" i="2"/>
  <c r="U9" i="2"/>
  <c r="T9" i="2"/>
  <c r="S9" i="2"/>
  <c r="X8" i="2"/>
  <c r="W8" i="2"/>
  <c r="V8" i="2"/>
  <c r="U8" i="2"/>
  <c r="T8" i="2"/>
  <c r="S8" i="2"/>
  <c r="K8" i="2" a="1"/>
  <c r="J8" i="2" a="1"/>
  <c r="I8" i="2" a="1"/>
  <c r="X7" i="2"/>
  <c r="W7" i="2"/>
  <c r="V7" i="2"/>
  <c r="U7" i="2"/>
  <c r="T7" i="2"/>
  <c r="S7" i="2"/>
  <c r="K7" i="2" a="1"/>
  <c r="J7" i="2" a="1"/>
  <c r="I7" i="2" a="1"/>
  <c r="X6" i="2"/>
  <c r="W6" i="2"/>
  <c r="V6" i="2"/>
  <c r="U6" i="2"/>
  <c r="T6" i="2"/>
  <c r="S6" i="2"/>
  <c r="K6" i="2" a="1"/>
  <c r="J6" i="2" a="1"/>
  <c r="I6" i="2" a="1"/>
  <c r="Q4" i="2"/>
  <c r="F4" i="2"/>
  <c r="B2" i="2"/>
  <c r="K13" i="2" l="1" a="1"/>
  <c r="K13" i="2" s="1"/>
  <c r="L13" i="2"/>
  <c r="H13" i="2" s="1"/>
  <c r="M9" i="2"/>
  <c r="K9" i="2" a="1"/>
  <c r="K9" i="2" s="1"/>
  <c r="J9" i="2" a="1"/>
  <c r="J9" i="2" s="1"/>
  <c r="I9" i="2" a="1"/>
  <c r="I9" i="2" s="1"/>
  <c r="I7" i="2"/>
  <c r="L15" i="2"/>
  <c r="J8" i="2"/>
  <c r="J11" i="2"/>
  <c r="K7" i="2"/>
  <c r="M7" i="2"/>
  <c r="L11" i="2"/>
  <c r="K8" i="2"/>
  <c r="J7" i="2"/>
  <c r="L8" i="2"/>
  <c r="J12" i="2"/>
  <c r="I12" i="2"/>
  <c r="K12" i="2"/>
  <c r="I8" i="2"/>
  <c r="K15" i="2"/>
  <c r="J16" i="2"/>
  <c r="I11" i="2"/>
  <c r="K16" i="2"/>
  <c r="K11" i="2"/>
  <c r="L16" i="2"/>
  <c r="I14" i="2"/>
  <c r="K14" i="2"/>
  <c r="J14" i="2"/>
  <c r="L14" i="2"/>
  <c r="I15" i="2"/>
  <c r="J15" i="2"/>
  <c r="D25" i="2"/>
  <c r="J10" i="2"/>
  <c r="H10" i="2" s="1"/>
  <c r="K10" i="2"/>
  <c r="I6" i="2"/>
  <c r="J6" i="2"/>
  <c r="M6" i="2"/>
  <c r="L6" i="2"/>
  <c r="K6" i="2"/>
  <c r="H21" i="2"/>
  <c r="H20" i="2"/>
  <c r="G8" i="1"/>
  <c r="F12" i="1"/>
  <c r="G5" i="1"/>
  <c r="H18" i="2"/>
  <c r="S11" i="2"/>
  <c r="V11" i="2"/>
  <c r="R8" i="2"/>
  <c r="Y8" i="2" s="1"/>
  <c r="R7" i="2"/>
  <c r="Y7" i="2" s="1"/>
  <c r="T11" i="2"/>
  <c r="U11" i="2"/>
  <c r="R6" i="2"/>
  <c r="Y6" i="2" s="1"/>
  <c r="X11" i="2"/>
  <c r="W11" i="2"/>
  <c r="R9" i="2"/>
  <c r="Y9" i="2" s="1"/>
  <c r="R10" i="2"/>
  <c r="Y10" i="2" s="1"/>
  <c r="H17" i="2"/>
  <c r="H23" i="2"/>
  <c r="H19" i="2"/>
  <c r="H22" i="2"/>
  <c r="H24" i="2"/>
  <c r="H12" i="2" l="1"/>
  <c r="H11" i="2"/>
  <c r="H8" i="2"/>
  <c r="H7" i="2"/>
  <c r="H15" i="2"/>
  <c r="H9" i="2"/>
  <c r="H16" i="2"/>
  <c r="H6" i="2"/>
  <c r="M25" i="2"/>
  <c r="H14" i="2"/>
  <c r="L25" i="2"/>
  <c r="K25" i="2"/>
  <c r="J25" i="2"/>
  <c r="I25" i="2"/>
  <c r="G12" i="1"/>
  <c r="R11" i="2"/>
  <c r="Y11" i="2" s="1"/>
  <c r="H25" i="2" l="1"/>
</calcChain>
</file>

<file path=xl/sharedStrings.xml><?xml version="1.0" encoding="utf-8"?>
<sst xmlns="http://schemas.openxmlformats.org/spreadsheetml/2006/main" count="437" uniqueCount="203">
  <si>
    <t xml:space="preserve">PLAN DE ACTIVIDADES PARA LA REVISIÓN TÉCNICA Y FUNCIONAL - SISTEMA </t>
  </si>
  <si>
    <t>Actividades</t>
  </si>
  <si>
    <t>Fecha inicio</t>
  </si>
  <si>
    <t>Fecha Fin</t>
  </si>
  <si>
    <t>Estimación en días</t>
  </si>
  <si>
    <t>HITO 1</t>
  </si>
  <si>
    <t>HITO 2</t>
  </si>
  <si>
    <t>HITO 3</t>
  </si>
  <si>
    <t>HITO 4</t>
  </si>
  <si>
    <t>HITO 5</t>
  </si>
  <si>
    <t>HITO 6</t>
  </si>
  <si>
    <t>HITO 7</t>
  </si>
  <si>
    <t>Nro.</t>
  </si>
  <si>
    <t>NRO. INCIDENCIA</t>
  </si>
  <si>
    <t>TIPOS DE PRUEBA</t>
  </si>
  <si>
    <t>ESTADO</t>
  </si>
  <si>
    <t>PUNTOS CRÍTICOS A REVISAR</t>
  </si>
  <si>
    <t>PROCESOS</t>
  </si>
  <si>
    <t>DETALLE</t>
  </si>
  <si>
    <t>TIPO DE PRUEBA</t>
  </si>
  <si>
    <t>ID-CP</t>
  </si>
  <si>
    <t>CASO DE PRUEBA</t>
  </si>
  <si>
    <t>HITO</t>
  </si>
  <si>
    <t>RESULTADO ESPERADO</t>
  </si>
  <si>
    <t>ANALISTA QA</t>
  </si>
  <si>
    <t>ENCARGADO</t>
  </si>
  <si>
    <t>COMENTARIOS  QA</t>
  </si>
  <si>
    <t>Total Inc.</t>
  </si>
  <si>
    <t>CRITICIDAD</t>
  </si>
  <si>
    <t>PRUEBAS FUNCIONALES</t>
  </si>
  <si>
    <t>COMENTARIOS DESARROLLO</t>
  </si>
  <si>
    <t>Corregidas</t>
  </si>
  <si>
    <t>Pendientes QA</t>
  </si>
  <si>
    <t>ANALISTA DESARROLLO</t>
  </si>
  <si>
    <t>Pendientes DEV</t>
  </si>
  <si>
    <t>ANALISTA DESARROLLO 2</t>
  </si>
  <si>
    <t>FECHA SUBSANACIÓN</t>
  </si>
  <si>
    <t>Desestimado</t>
  </si>
  <si>
    <t>Mejora</t>
  </si>
  <si>
    <t>Alejandra Cárdenas</t>
  </si>
  <si>
    <t>Responsable QA</t>
  </si>
  <si>
    <t>Total de Casos Asignado</t>
  </si>
  <si>
    <t>PENDIENTE</t>
  </si>
  <si>
    <t>EN PROCESO</t>
  </si>
  <si>
    <t>BLOQUEANTE</t>
  </si>
  <si>
    <t>CASO 04</t>
  </si>
  <si>
    <t>CONCLUIDO</t>
  </si>
  <si>
    <t>CASO 05</t>
  </si>
  <si>
    <t>CERRADO</t>
  </si>
  <si>
    <t>POSTERGADO</t>
  </si>
  <si>
    <t>CASO 06</t>
  </si>
  <si>
    <t>% de Avance</t>
  </si>
  <si>
    <t>CASO 07</t>
  </si>
  <si>
    <t>CASO 09</t>
  </si>
  <si>
    <t>CASO 10</t>
  </si>
  <si>
    <t>CP-EACS-001</t>
  </si>
  <si>
    <t>PRUEBAS TECNICAS</t>
  </si>
  <si>
    <t>Documentación</t>
  </si>
  <si>
    <t>PT01</t>
  </si>
  <si>
    <t>PT02</t>
  </si>
  <si>
    <t>Configuración y Entorno</t>
  </si>
  <si>
    <t>PT03</t>
  </si>
  <si>
    <t>Estabilidad de Ambiente</t>
  </si>
  <si>
    <t>PT04</t>
  </si>
  <si>
    <t>Verificar la estabilidad, navegación básica y ejecución de los módulos críticos bajo la versión de .NET framework 4.8.1.</t>
  </si>
  <si>
    <t>PRUEBAS DE REGRESION</t>
  </si>
  <si>
    <t>Revisión y levantamiento de incidencias</t>
  </si>
  <si>
    <t>PR01</t>
  </si>
  <si>
    <t xml:space="preserve">Revisar y cerrar incidencias </t>
  </si>
  <si>
    <t>Flujos Críticos de Regresión</t>
  </si>
  <si>
    <t>PR02</t>
  </si>
  <si>
    <t>Ejecutar flujos críticos del sistema.</t>
  </si>
  <si>
    <t>Leyenda</t>
  </si>
  <si>
    <t>Funcionalidad con errores que no permiten continuar con la revisión</t>
  </si>
  <si>
    <t xml:space="preserve">Funcionalidad pendiente de revisión por el equipo de QA     </t>
  </si>
  <si>
    <t xml:space="preserve">Funcionalidad en proceso de revisión por el equipo de QA     </t>
  </si>
  <si>
    <t>Funcionalidad revisada completamente, pero se tiene incidencias pendientes</t>
  </si>
  <si>
    <t xml:space="preserve">Funcionalidad revisada completamente, no se tiene incidencias pendientes     </t>
  </si>
  <si>
    <t>Funcionalidad postergada para un próximo paquete de mejoras</t>
  </si>
  <si>
    <t>Incidencia no permiten continuar con la revisión</t>
  </si>
  <si>
    <t xml:space="preserve">Incidencia pendiente de revisión </t>
  </si>
  <si>
    <t>Incidencia en proceso de revisión</t>
  </si>
  <si>
    <t xml:space="preserve">Incidencia revisada completamente, pero se tiene otras incidencias relacionadas pendientes </t>
  </si>
  <si>
    <t xml:space="preserve">Incidencia revisada completamente, no se tiene incidencias relacionadas pendientes     </t>
  </si>
  <si>
    <t>DESESTIMADO</t>
  </si>
  <si>
    <t>Incidencia que no requiere corrección o no corresponde al sistema.</t>
  </si>
  <si>
    <t>MEJORA</t>
  </si>
  <si>
    <t>Incidencia postergada para un próximo paquete de mejoras</t>
  </si>
  <si>
    <t>Validan lo que hace el sistema</t>
  </si>
  <si>
    <t>Verifican como lo hace el sistema</t>
  </si>
  <si>
    <t>Verifican que los cambios o actualizaciones no hayan roto lo que ya funcionaba</t>
  </si>
  <si>
    <t>ALTA</t>
  </si>
  <si>
    <t>Detiene por completo la operación del sistema y no existe ninguna alternativa para continuar</t>
  </si>
  <si>
    <t>CP-EACS-002</t>
  </si>
  <si>
    <t>MEDIA</t>
  </si>
  <si>
    <t>Afecta funciones importantes pero no vitales, y/o se tiene una solución alternativa para continuar.</t>
  </si>
  <si>
    <t>BAJA</t>
  </si>
  <si>
    <t>No afectan la operación ni la lógica del sistema</t>
  </si>
  <si>
    <t>CP-EACS-003</t>
  </si>
  <si>
    <t>CP-EACS-004</t>
  </si>
  <si>
    <t>CP-EACS-005</t>
  </si>
  <si>
    <t>CP-EACS-006</t>
  </si>
  <si>
    <t>RESUMEN/TOTAL</t>
  </si>
  <si>
    <t>CP-EACS-007</t>
  </si>
  <si>
    <t>CP-EACS-008</t>
  </si>
  <si>
    <t>CP-EACS-009</t>
  </si>
  <si>
    <t>CP-EACS-010</t>
  </si>
  <si>
    <t>CP-EACS-011</t>
  </si>
  <si>
    <t>CP-EACS-012</t>
  </si>
  <si>
    <t>CP-EACS-013</t>
  </si>
  <si>
    <t>CP-EACS-014</t>
  </si>
  <si>
    <t>CP-EACS-015</t>
  </si>
  <si>
    <t>CP-EACS-016</t>
  </si>
  <si>
    <t>CP-EACS-017</t>
  </si>
  <si>
    <t>CP-EACS-018</t>
  </si>
  <si>
    <t>CP-EACS-019</t>
  </si>
  <si>
    <t>Sistema estable sin caídas repentinas, navegación fluida y sin conflictos de compatibilidad en la infraestructura de .NET 4.8.1.</t>
  </si>
  <si>
    <t>Totalidad de defectos corregidos por desarrollo validados exitosamente, con su estado actualizado a "Cerrado".</t>
  </si>
  <si>
    <t>Procesos de negocio (rutas críticas y Happy Paths) completados y sin encontrar errores de severidad alta o bloqueante</t>
  </si>
  <si>
    <t>TOTAL / RESUMEN</t>
  </si>
  <si>
    <t>Estado</t>
  </si>
  <si>
    <t>ITERACIÓN</t>
  </si>
  <si>
    <t>MÓDULO</t>
  </si>
  <si>
    <t>FECHA DE REPORTE</t>
  </si>
  <si>
    <t>SISTEMA</t>
  </si>
  <si>
    <t>FUNCIONALIDAD</t>
  </si>
  <si>
    <t>ROL</t>
  </si>
  <si>
    <t>NAVEGADOR</t>
  </si>
  <si>
    <t>DESCRIPCIÓN DE INCIDENCIA</t>
  </si>
  <si>
    <t>IMAGEN2</t>
  </si>
  <si>
    <t>IMAGEN1</t>
  </si>
  <si>
    <t>Crear documentos para las pruebas (Plan y Diseño de Casos de Prueba; Plan de revisión de sistema).</t>
  </si>
  <si>
    <t>PT05</t>
  </si>
  <si>
    <t>Verificar entorno y configuración base</t>
  </si>
  <si>
    <t>Crear documentos de las pruebas realizadas  (Informe de atención de solicitudes, Informe de incidencias).</t>
  </si>
  <si>
    <t>Crear o actualizar documentos de las pruebas realizadas  (Plan y Diseño de Casos de Prueba; Plan de revisión de sistema, Informe de atención de solicitudes, Informe de incidencias, Informe de resultados de pruebas de calidad, Informe de pruebas).</t>
  </si>
  <si>
    <t>PT06</t>
  </si>
  <si>
    <t>Documentos redactados y aprobados</t>
  </si>
  <si>
    <t>Ambiente operativo, actualizados y sin bloqueos.</t>
  </si>
  <si>
    <t xml:space="preserve">Documentos del sistema analizados y considerados una línea base estable para las siguientes actividades. </t>
  </si>
  <si>
    <t xml:space="preserve">  </t>
  </si>
  <si>
    <t>Análisis de documentación del Sistema.</t>
  </si>
  <si>
    <t>CHROME</t>
  </si>
  <si>
    <t>Se encuentra en el documento ANEXO 3.1 Informe de incidencias.pdf</t>
  </si>
  <si>
    <t>DESCRIPCIÓN</t>
  </si>
  <si>
    <t>-</t>
  </si>
  <si>
    <t>Planificación, analisis y Diseño de casos de prueba</t>
  </si>
  <si>
    <t>Instalación y despliegue del sistema</t>
  </si>
  <si>
    <t>Validación de la operatividad</t>
  </si>
  <si>
    <t>Ejecución de pruebas funcionales y técnicas</t>
  </si>
  <si>
    <t>Pruebas de regresión</t>
  </si>
  <si>
    <t>Cierre de pruebas</t>
  </si>
  <si>
    <t>PRUEBAS TÉCNICAS</t>
  </si>
  <si>
    <t>PRUEBAS DE REGRESIÓN</t>
  </si>
  <si>
    <t>FECHA DE ATENCIÓN</t>
  </si>
  <si>
    <t>INC-001-EACS</t>
  </si>
  <si>
    <t>INC-002-EACS</t>
  </si>
  <si>
    <t>INC-003-EACS</t>
  </si>
  <si>
    <t>INC-004-EACS</t>
  </si>
  <si>
    <t>INC-005-EACS</t>
  </si>
  <si>
    <t>Búsqueda y Filtros</t>
  </si>
  <si>
    <t>CASO 01</t>
  </si>
  <si>
    <t>CASO 02</t>
  </si>
  <si>
    <t>CASO 03</t>
  </si>
  <si>
    <t>Visualización de Resultados y Documentos</t>
  </si>
  <si>
    <t>Panel e Información General</t>
  </si>
  <si>
    <t>CASO 08</t>
  </si>
  <si>
    <t>Sistema busca resoluciones por texto libre correctamente.</t>
  </si>
  <si>
    <t>Sistema filtra resouciones correctamente.</t>
  </si>
  <si>
    <t>Sistema realiza busqueda avanzada  correctamente.</t>
  </si>
  <si>
    <t>Sistema consulta accesos directos temáticos correctamente.</t>
  </si>
  <si>
    <t>Sistema descarga resolución (PDF) correctamente.</t>
  </si>
  <si>
    <t>CASO 11</t>
  </si>
  <si>
    <t>Buscar resoluciones por texto libre.</t>
  </si>
  <si>
    <t>Visualizar resultados de búsqueda y navegación numerada sobre el conjunto de resultados.</t>
  </si>
  <si>
    <t>Filtrar resoluciones por categoría, período, sala y/o entidad de forma individual o combinada.</t>
  </si>
  <si>
    <t>Realizar búsqueda avanzada de resoluciones mediante la selección jerárquica de categoría, subcategoría e índice temático.</t>
  </si>
  <si>
    <t>Consultar accesos directos de clasificador temático  (Sistemas Administrativos, Otros Sistemas, Infracciones, Potestad Sancionadora).</t>
  </si>
  <si>
    <t>Visualizar archivo de la resolución en formato PDF.</t>
  </si>
  <si>
    <t>Descargar archivo de la resolución en formato PDF.</t>
  </si>
  <si>
    <t>Consultar gráficos de resoluciones por infracción,  de resoluciones por sistema administrativo y  de resoluciones por año.</t>
  </si>
  <si>
    <t>Consultar  información de orientación para el uso del buscador.</t>
  </si>
  <si>
    <t>Consultar texto del aviso legal del buscador.</t>
  </si>
  <si>
    <t>Consultar enlaces del buscador.</t>
  </si>
  <si>
    <t>Buscador Temático de Resoluciones del Tribunal Superior de Responsabilidades Administrativas (TSRA)</t>
  </si>
  <si>
    <t>Sistema muestra resultados de búsqueda correctamente.</t>
  </si>
  <si>
    <t>Sistema muestra resolución (PDF) correctamente.</t>
  </si>
  <si>
    <t>Sistema muestra ayuda correctamente.</t>
  </si>
  <si>
    <t>Sistema muestra panel de información general (Dashboard) correctamente.</t>
  </si>
  <si>
    <t>Sistema muestra aviso legal correctamente.</t>
  </si>
  <si>
    <t>Sistema muestra enlaces correctamente.</t>
  </si>
  <si>
    <t>EDGE</t>
  </si>
  <si>
    <t>Buscador Temático de Resoluciones del TSRA</t>
  </si>
  <si>
    <t>N.A.</t>
  </si>
  <si>
    <t xml:space="preserve">Buscador Temático de Resoluciones </t>
  </si>
  <si>
    <t>buscar</t>
  </si>
  <si>
    <t>Sistema muestra diseño sobrepuesto en la selección de columnas de la grilla de resultados</t>
  </si>
  <si>
    <t>Sistema muestra diseño sobrepuesto en la paginación de la grilla de resultados</t>
  </si>
  <si>
    <t>buscar avanzadamente</t>
  </si>
  <si>
    <t>Sistema no muestra ordenenado el listado de temas</t>
  </si>
  <si>
    <t>Sistema no muestra ordenenado el listado de subcategorías</t>
  </si>
  <si>
    <t>Sistema limpia filtros externos diferente a categoría, subcategoría y tema</t>
  </si>
  <si>
    <t>Oscar Huanca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</si>
</sst>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27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b/>
      <sz val="11"/>
      <color rgb="FFFF0000"/>
      <name val="Arial"/>
    </font>
    <font>
      <b/>
      <sz val="11"/>
      <color rgb="FFFFFFFF"/>
      <name val="Arial"/>
    </font>
    <font>
      <sz val="11"/>
      <name val="Arial"/>
    </font>
    <font>
      <b/>
      <sz val="11"/>
      <color theme="0"/>
      <name val="Arial"/>
    </font>
    <font>
      <sz val="11"/>
      <color rgb="FF000000"/>
      <name val="Arial Narrow"/>
    </font>
    <font>
      <b/>
      <sz val="11"/>
      <color theme="1"/>
      <name val="Arial"/>
      <family val="2"/>
      <scheme val="minor"/>
    </font>
    <font>
      <u/>
      <sz val="11"/>
      <color theme="10"/>
      <name val="Arial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8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color theme="0"/>
      <name val="Arial"/>
      <family val="2"/>
    </font>
    <font>
      <b/>
      <sz val="11"/>
      <color theme="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3F3F3F"/>
        <bgColor rgb="FF3F3F3F"/>
      </patternFill>
    </fill>
    <fill>
      <patternFill patternType="solid">
        <fgColor rgb="FFBFBFBF"/>
        <bgColor rgb="FFBFBFBF"/>
      </patternFill>
    </fill>
    <fill>
      <patternFill patternType="solid">
        <fgColor rgb="FF525252"/>
        <bgColor rgb="FF525252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  <fill>
      <patternFill patternType="solid">
        <fgColor rgb="FFFFF2CB"/>
        <bgColor rgb="FFFFF2CB"/>
      </patternFill>
    </fill>
    <fill>
      <patternFill patternType="solid">
        <fgColor rgb="FFFFF2CC"/>
        <bgColor rgb="FFFFF2CC"/>
      </patternFill>
    </fill>
    <fill>
      <patternFill patternType="solid">
        <fgColor rgb="FF595959"/>
        <bgColor rgb="FF595959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5B9BD5"/>
        <bgColor rgb="FF5B9BD5"/>
      </patternFill>
    </fill>
    <fill>
      <patternFill patternType="solid">
        <fgColor rgb="FFA5A5A5"/>
        <bgColor rgb="FFA5A5A5"/>
      </patternFill>
    </fill>
    <fill>
      <patternFill patternType="solid">
        <fgColor rgb="FFE2EFD9"/>
        <bgColor rgb="FFE2EFD9"/>
      </patternFill>
    </fill>
    <fill>
      <patternFill patternType="solid">
        <fgColor rgb="FFD9D2E9"/>
        <bgColor rgb="FFD9D2E9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757171"/>
      </right>
      <top/>
      <bottom style="thin">
        <color rgb="FF757171"/>
      </bottom>
      <diagonal/>
    </border>
    <border>
      <left style="thin">
        <color rgb="FF757171"/>
      </left>
      <right style="thin">
        <color rgb="FF757171"/>
      </right>
      <top/>
      <bottom style="thin">
        <color rgb="FF75717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757171"/>
      </right>
      <top/>
      <bottom/>
      <diagonal/>
    </border>
    <border>
      <left style="thin">
        <color rgb="FF757171"/>
      </left>
      <right style="thin">
        <color rgb="FF757171"/>
      </right>
      <top/>
      <bottom/>
      <diagonal/>
    </border>
    <border>
      <left style="thin">
        <color rgb="FF757171"/>
      </left>
      <right/>
      <top/>
      <bottom style="thin">
        <color rgb="FF757171"/>
      </bottom>
      <diagonal/>
    </border>
    <border>
      <left style="thin">
        <color rgb="FF757171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10">
    <xf numFmtId="0" fontId="0" fillId="0" borderId="0" xfId="0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14" fontId="7" fillId="2" borderId="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9" fillId="3" borderId="2" xfId="0" applyFont="1" applyFill="1" applyBorder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left" wrapTex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left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6" fillId="20" borderId="29" xfId="0" applyFont="1" applyFill="1" applyBorder="1" applyAlignment="1">
      <alignment horizontal="left" vertical="center" wrapText="1"/>
    </xf>
    <xf numFmtId="0" fontId="4" fillId="20" borderId="29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wrapText="1"/>
    </xf>
    <xf numFmtId="49" fontId="6" fillId="0" borderId="0" xfId="0" applyNumberFormat="1" applyFont="1" applyAlignment="1">
      <alignment horizontal="center" wrapText="1"/>
    </xf>
    <xf numFmtId="49" fontId="5" fillId="16" borderId="30" xfId="0" applyNumberFormat="1" applyFont="1" applyFill="1" applyBorder="1" applyAlignment="1">
      <alignment wrapText="1"/>
    </xf>
    <xf numFmtId="49" fontId="5" fillId="14" borderId="30" xfId="0" applyNumberFormat="1" applyFont="1" applyFill="1" applyBorder="1" applyAlignment="1">
      <alignment wrapText="1"/>
    </xf>
    <xf numFmtId="49" fontId="5" fillId="15" borderId="30" xfId="0" applyNumberFormat="1" applyFont="1" applyFill="1" applyBorder="1" applyAlignment="1">
      <alignment vertical="center"/>
    </xf>
    <xf numFmtId="49" fontId="5" fillId="9" borderId="30" xfId="0" applyNumberFormat="1" applyFont="1" applyFill="1" applyBorder="1" applyAlignment="1">
      <alignment vertical="center" wrapText="1"/>
    </xf>
    <xf numFmtId="49" fontId="5" fillId="8" borderId="30" xfId="0" applyNumberFormat="1" applyFont="1" applyFill="1" applyBorder="1" applyAlignment="1">
      <alignment wrapText="1"/>
    </xf>
    <xf numFmtId="49" fontId="5" fillId="18" borderId="30" xfId="0" applyNumberFormat="1" applyFont="1" applyFill="1" applyBorder="1" applyAlignment="1">
      <alignment wrapText="1"/>
    </xf>
    <xf numFmtId="0" fontId="12" fillId="0" borderId="0" xfId="0" applyFont="1"/>
    <xf numFmtId="49" fontId="5" fillId="13" borderId="30" xfId="0" applyNumberFormat="1" applyFont="1" applyFill="1" applyBorder="1" applyAlignment="1">
      <alignment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/>
    </xf>
    <xf numFmtId="0" fontId="11" fillId="8" borderId="2" xfId="0" applyFont="1" applyFill="1" applyBorder="1" applyAlignment="1">
      <alignment horizontal="left" vertical="top" wrapText="1"/>
    </xf>
    <xf numFmtId="0" fontId="7" fillId="0" borderId="11" xfId="0" applyFont="1" applyBorder="1" applyAlignment="1">
      <alignment vertical="top" wrapText="1"/>
    </xf>
    <xf numFmtId="0" fontId="7" fillId="0" borderId="37" xfId="0" applyFont="1" applyBorder="1" applyAlignment="1">
      <alignment vertical="top" wrapText="1"/>
    </xf>
    <xf numFmtId="0" fontId="17" fillId="0" borderId="37" xfId="0" applyFont="1" applyBorder="1" applyAlignment="1">
      <alignment horizontal="left" vertical="top" wrapText="1"/>
    </xf>
    <xf numFmtId="0" fontId="17" fillId="0" borderId="2" xfId="0" applyFont="1" applyBorder="1" applyAlignment="1">
      <alignment vertical="top" wrapText="1"/>
    </xf>
    <xf numFmtId="0" fontId="14" fillId="0" borderId="2" xfId="1" applyBorder="1" applyAlignment="1">
      <alignment horizontal="left" vertical="top" wrapText="1"/>
    </xf>
    <xf numFmtId="0" fontId="7" fillId="2" borderId="2" xfId="0" applyFont="1" applyFill="1" applyBorder="1" applyAlignment="1">
      <alignment vertical="top" wrapText="1"/>
    </xf>
    <xf numFmtId="0" fontId="5" fillId="0" borderId="27" xfId="0" applyFont="1" applyBorder="1" applyAlignment="1">
      <alignment horizontal="center" vertical="top"/>
    </xf>
    <xf numFmtId="0" fontId="11" fillId="8" borderId="5" xfId="0" applyFont="1" applyFill="1" applyBorder="1" applyAlignment="1">
      <alignment horizontal="center" vertical="top"/>
    </xf>
    <xf numFmtId="0" fontId="15" fillId="0" borderId="2" xfId="0" applyFont="1" applyBorder="1" applyAlignment="1">
      <alignment horizontal="left" vertical="top"/>
    </xf>
    <xf numFmtId="0" fontId="5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vertical="top"/>
    </xf>
    <xf numFmtId="1" fontId="7" fillId="0" borderId="2" xfId="0" applyNumberFormat="1" applyFont="1" applyBorder="1" applyAlignment="1">
      <alignment vertical="center"/>
    </xf>
    <xf numFmtId="0" fontId="17" fillId="0" borderId="4" xfId="0" applyFont="1" applyBorder="1" applyAlignment="1">
      <alignment horizontal="left" vertical="center" wrapText="1"/>
    </xf>
    <xf numFmtId="0" fontId="17" fillId="2" borderId="5" xfId="0" applyFont="1" applyFill="1" applyBorder="1" applyAlignment="1">
      <alignment horizontal="left"/>
    </xf>
    <xf numFmtId="0" fontId="17" fillId="0" borderId="11" xfId="0" applyFont="1" applyBorder="1" applyAlignment="1">
      <alignment horizontal="left"/>
    </xf>
    <xf numFmtId="0" fontId="21" fillId="3" borderId="2" xfId="0" applyFont="1" applyFill="1" applyBorder="1" applyAlignment="1">
      <alignment horizontal="center" vertical="center"/>
    </xf>
    <xf numFmtId="0" fontId="18" fillId="19" borderId="2" xfId="0" applyFont="1" applyFill="1" applyBorder="1" applyAlignment="1">
      <alignment horizontal="center" vertical="center" wrapText="1"/>
    </xf>
    <xf numFmtId="1" fontId="9" fillId="3" borderId="2" xfId="0" applyNumberFormat="1" applyFont="1" applyFill="1" applyBorder="1" applyAlignment="1">
      <alignment horizontal="right" vertical="center"/>
    </xf>
    <xf numFmtId="0" fontId="17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/>
    <xf numFmtId="0" fontId="2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 vertical="center"/>
    </xf>
    <xf numFmtId="0" fontId="13" fillId="6" borderId="19" xfId="0" applyFont="1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6" borderId="23" xfId="0" applyFont="1" applyFill="1" applyBorder="1" applyAlignment="1">
      <alignment horizontal="center" vertical="center" wrapText="1"/>
    </xf>
    <xf numFmtId="1" fontId="13" fillId="9" borderId="24" xfId="0" applyNumberFormat="1" applyFont="1" applyFill="1" applyBorder="1" applyAlignment="1">
      <alignment horizontal="center" vertical="center"/>
    </xf>
    <xf numFmtId="1" fontId="13" fillId="10" borderId="19" xfId="0" applyNumberFormat="1" applyFont="1" applyFill="1" applyBorder="1" applyAlignment="1">
      <alignment horizontal="center" vertical="center"/>
    </xf>
    <xf numFmtId="1" fontId="13" fillId="11" borderId="21" xfId="0" applyNumberFormat="1" applyFont="1" applyFill="1" applyBorder="1" applyAlignment="1">
      <alignment horizontal="center" vertical="center"/>
    </xf>
    <xf numFmtId="1" fontId="13" fillId="13" borderId="19" xfId="0" applyNumberFormat="1" applyFont="1" applyFill="1" applyBorder="1" applyAlignment="1">
      <alignment horizontal="center" vertical="center"/>
    </xf>
    <xf numFmtId="1" fontId="13" fillId="6" borderId="23" xfId="0" applyNumberFormat="1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left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" fontId="13" fillId="0" borderId="28" xfId="0" applyNumberFormat="1" applyFont="1" applyBorder="1" applyAlignment="1">
      <alignment horizontal="center" vertical="center" wrapText="1"/>
    </xf>
    <xf numFmtId="1" fontId="3" fillId="4" borderId="29" xfId="0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left" vertical="center" wrapText="1"/>
    </xf>
    <xf numFmtId="0" fontId="20" fillId="8" borderId="2" xfId="0" applyFont="1" applyFill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wrapText="1"/>
    </xf>
    <xf numFmtId="0" fontId="23" fillId="19" borderId="2" xfId="0" applyFont="1" applyFill="1" applyBorder="1" applyAlignment="1">
      <alignment horizontal="left" vertical="center" wrapText="1"/>
    </xf>
    <xf numFmtId="0" fontId="23" fillId="19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13" fillId="20" borderId="29" xfId="0" applyFont="1" applyFill="1" applyBorder="1" applyAlignment="1">
      <alignment horizontal="left" vertical="center" wrapText="1"/>
    </xf>
    <xf numFmtId="0" fontId="23" fillId="20" borderId="29" xfId="0" applyFont="1" applyFill="1" applyBorder="1" applyAlignment="1">
      <alignment horizontal="center" vertical="center" wrapText="1"/>
    </xf>
    <xf numFmtId="1" fontId="13" fillId="0" borderId="17" xfId="0" applyNumberFormat="1" applyFont="1" applyBorder="1" applyAlignment="1">
      <alignment horizontal="center" vertical="center" wrapText="1"/>
    </xf>
    <xf numFmtId="1" fontId="3" fillId="4" borderId="16" xfId="0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13" fillId="0" borderId="19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1" fontId="13" fillId="6" borderId="19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13" fillId="0" borderId="0" xfId="0" applyNumberFormat="1" applyFont="1" applyAlignment="1">
      <alignment wrapText="1"/>
    </xf>
    <xf numFmtId="49" fontId="13" fillId="0" borderId="0" xfId="0" applyNumberFormat="1" applyFont="1" applyAlignment="1">
      <alignment horizontal="center" wrapText="1"/>
    </xf>
    <xf numFmtId="49" fontId="3" fillId="16" borderId="30" xfId="0" applyNumberFormat="1" applyFont="1" applyFill="1" applyBorder="1" applyAlignment="1">
      <alignment wrapText="1"/>
    </xf>
    <xf numFmtId="49" fontId="3" fillId="14" borderId="30" xfId="0" applyNumberFormat="1" applyFont="1" applyFill="1" applyBorder="1" applyAlignment="1">
      <alignment wrapText="1"/>
    </xf>
    <xf numFmtId="49" fontId="3" fillId="15" borderId="30" xfId="0" applyNumberFormat="1" applyFont="1" applyFill="1" applyBorder="1" applyAlignment="1">
      <alignment vertical="center"/>
    </xf>
    <xf numFmtId="49" fontId="3" fillId="9" borderId="30" xfId="0" applyNumberFormat="1" applyFont="1" applyFill="1" applyBorder="1" applyAlignment="1">
      <alignment vertical="center" wrapText="1"/>
    </xf>
    <xf numFmtId="49" fontId="3" fillId="8" borderId="30" xfId="0" applyNumberFormat="1" applyFont="1" applyFill="1" applyBorder="1" applyAlignment="1">
      <alignment wrapText="1"/>
    </xf>
    <xf numFmtId="49" fontId="3" fillId="18" borderId="30" xfId="0" applyNumberFormat="1" applyFont="1" applyFill="1" applyBorder="1" applyAlignment="1">
      <alignment wrapText="1"/>
    </xf>
    <xf numFmtId="0" fontId="13" fillId="14" borderId="26" xfId="0" applyFont="1" applyFill="1" applyBorder="1" applyAlignment="1">
      <alignment horizontal="center" vertical="center" wrapText="1"/>
    </xf>
    <xf numFmtId="0" fontId="13" fillId="15" borderId="19" xfId="0" applyFont="1" applyFill="1" applyBorder="1" applyAlignment="1">
      <alignment horizontal="center" vertical="center" wrapText="1"/>
    </xf>
    <xf numFmtId="0" fontId="13" fillId="16" borderId="21" xfId="0" applyFont="1" applyFill="1" applyBorder="1" applyAlignment="1">
      <alignment horizontal="center" vertical="center" wrapText="1"/>
    </xf>
    <xf numFmtId="0" fontId="13" fillId="9" borderId="19" xfId="0" applyFont="1" applyFill="1" applyBorder="1" applyAlignment="1">
      <alignment horizontal="center" vertical="center" wrapText="1"/>
    </xf>
    <xf numFmtId="0" fontId="13" fillId="17" borderId="21" xfId="0" applyFont="1" applyFill="1" applyBorder="1" applyAlignment="1">
      <alignment horizontal="center" vertical="center" wrapText="1"/>
    </xf>
    <xf numFmtId="0" fontId="13" fillId="18" borderId="19" xfId="0" applyFont="1" applyFill="1" applyBorder="1" applyAlignment="1">
      <alignment horizontal="center" vertical="center" wrapText="1"/>
    </xf>
    <xf numFmtId="0" fontId="22" fillId="21" borderId="32" xfId="0" applyFont="1" applyFill="1" applyBorder="1" applyAlignment="1">
      <alignment horizontal="center" vertical="center" wrapText="1"/>
    </xf>
    <xf numFmtId="0" fontId="22" fillId="21" borderId="33" xfId="0" applyFont="1" applyFill="1" applyBorder="1" applyAlignment="1">
      <alignment horizontal="center" vertical="center" wrapText="1"/>
    </xf>
    <xf numFmtId="0" fontId="22" fillId="21" borderId="39" xfId="0" applyFont="1" applyFill="1" applyBorder="1" applyAlignment="1">
      <alignment horizontal="center" vertical="center" wrapText="1"/>
    </xf>
    <xf numFmtId="0" fontId="22" fillId="21" borderId="40" xfId="0" applyFont="1" applyFill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/>
    </xf>
    <xf numFmtId="9" fontId="23" fillId="22" borderId="38" xfId="0" applyNumberFormat="1" applyFont="1" applyFill="1" applyBorder="1" applyAlignment="1">
      <alignment horizontal="center" vertical="center" wrapText="1"/>
    </xf>
    <xf numFmtId="0" fontId="22" fillId="21" borderId="41" xfId="0" applyFont="1" applyFill="1" applyBorder="1" applyAlignment="1">
      <alignment horizontal="center" vertical="center" wrapText="1"/>
    </xf>
    <xf numFmtId="0" fontId="22" fillId="21" borderId="42" xfId="0" applyFont="1" applyFill="1" applyBorder="1" applyAlignment="1">
      <alignment horizontal="center" vertical="center" wrapText="1"/>
    </xf>
    <xf numFmtId="0" fontId="13" fillId="6" borderId="31" xfId="0" applyFont="1" applyFill="1" applyBorder="1" applyAlignment="1">
      <alignment horizontal="center" vertical="center" wrapText="1"/>
    </xf>
    <xf numFmtId="0" fontId="13" fillId="6" borderId="26" xfId="0" applyFont="1" applyFill="1" applyBorder="1" applyAlignment="1">
      <alignment horizontal="center" vertical="center" wrapText="1"/>
    </xf>
    <xf numFmtId="9" fontId="23" fillId="22" borderId="44" xfId="0" applyNumberFormat="1" applyFont="1" applyFill="1" applyBorder="1" applyAlignment="1">
      <alignment horizontal="center" vertical="center" wrapText="1"/>
    </xf>
    <xf numFmtId="9" fontId="23" fillId="22" borderId="43" xfId="0" applyNumberFormat="1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vertical="top" wrapText="1"/>
    </xf>
    <xf numFmtId="164" fontId="5" fillId="0" borderId="2" xfId="0" quotePrefix="1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0" borderId="36" xfId="0" applyFont="1" applyBorder="1"/>
    <xf numFmtId="0" fontId="5" fillId="0" borderId="1" xfId="0" applyFont="1" applyBorder="1"/>
    <xf numFmtId="0" fontId="17" fillId="2" borderId="2" xfId="0" applyFont="1" applyFill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1" fontId="13" fillId="9" borderId="24" xfId="0" applyNumberFormat="1" applyFont="1" applyFill="1" applyBorder="1" applyAlignment="1">
      <alignment horizontal="center" vertical="center" wrapText="1"/>
    </xf>
    <xf numFmtId="1" fontId="13" fillId="10" borderId="19" xfId="0" applyNumberFormat="1" applyFont="1" applyFill="1" applyBorder="1" applyAlignment="1">
      <alignment horizontal="center" vertical="center" wrapText="1"/>
    </xf>
    <xf numFmtId="1" fontId="13" fillId="11" borderId="21" xfId="0" applyNumberFormat="1" applyFont="1" applyFill="1" applyBorder="1" applyAlignment="1">
      <alignment horizontal="center" vertical="center" wrapText="1"/>
    </xf>
    <xf numFmtId="1" fontId="13" fillId="13" borderId="19" xfId="0" applyNumberFormat="1" applyFont="1" applyFill="1" applyBorder="1" applyAlignment="1">
      <alignment horizontal="center" vertical="center" wrapText="1"/>
    </xf>
    <xf numFmtId="1" fontId="13" fillId="6" borderId="23" xfId="0" applyNumberFormat="1" applyFont="1" applyFill="1" applyBorder="1" applyAlignment="1">
      <alignment horizontal="center" vertical="center" wrapText="1"/>
    </xf>
    <xf numFmtId="14" fontId="6" fillId="6" borderId="18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4" fontId="16" fillId="6" borderId="16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5" fillId="8" borderId="2" xfId="0" applyFont="1" applyFill="1" applyBorder="1" applyAlignment="1">
      <alignment horizontal="left" vertical="top" wrapText="1"/>
    </xf>
    <xf numFmtId="0" fontId="15" fillId="10" borderId="2" xfId="0" applyFont="1" applyFill="1" applyBorder="1" applyAlignment="1">
      <alignment horizontal="left" vertical="center" wrapText="1"/>
    </xf>
    <xf numFmtId="0" fontId="17" fillId="19" borderId="2" xfId="0" applyFont="1" applyFill="1" applyBorder="1" applyAlignment="1">
      <alignment horizontal="left" vertical="center" wrapText="1"/>
    </xf>
    <xf numFmtId="0" fontId="15" fillId="20" borderId="29" xfId="0" applyFont="1" applyFill="1" applyBorder="1" applyAlignment="1">
      <alignment horizontal="left" vertical="center" wrapText="1"/>
    </xf>
    <xf numFmtId="0" fontId="5" fillId="0" borderId="2" xfId="0" applyFont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64" fontId="5" fillId="0" borderId="2" xfId="0" applyNumberFormat="1" applyFont="1" applyBorder="1" applyAlignment="1" applyProtection="1">
      <alignment horizontal="center" vertical="top"/>
      <protection locked="0"/>
    </xf>
    <xf numFmtId="0" fontId="5" fillId="0" borderId="17" xfId="0" applyFont="1" applyBorder="1" applyAlignment="1" applyProtection="1">
      <alignment horizontal="left" vertical="top"/>
      <protection locked="0"/>
    </xf>
    <xf numFmtId="0" fontId="5" fillId="0" borderId="27" xfId="0" applyFont="1" applyBorder="1" applyAlignment="1" applyProtection="1">
      <alignment horizontal="left" vertical="top"/>
      <protection locked="0"/>
    </xf>
    <xf numFmtId="0" fontId="11" fillId="8" borderId="2" xfId="0" applyFont="1" applyFill="1" applyBorder="1" applyAlignment="1" applyProtection="1">
      <alignment horizontal="left" vertical="top" wrapText="1"/>
      <protection locked="0"/>
    </xf>
    <xf numFmtId="0" fontId="18" fillId="8" borderId="16" xfId="0" applyFont="1" applyFill="1" applyBorder="1" applyAlignment="1">
      <alignment horizontal="center" vertical="center" wrapText="1"/>
    </xf>
    <xf numFmtId="0" fontId="16" fillId="8" borderId="16" xfId="0" applyFont="1" applyFill="1" applyBorder="1" applyAlignment="1">
      <alignment horizontal="center" vertical="center" wrapText="1"/>
    </xf>
    <xf numFmtId="14" fontId="16" fillId="8" borderId="16" xfId="0" applyNumberFormat="1" applyFont="1" applyFill="1" applyBorder="1" applyAlignment="1">
      <alignment horizontal="center" vertical="center" wrapText="1"/>
    </xf>
    <xf numFmtId="0" fontId="13" fillId="10" borderId="37" xfId="0" applyFont="1" applyFill="1" applyBorder="1" applyAlignment="1">
      <alignment horizontal="left" vertical="center" wrapText="1"/>
    </xf>
    <xf numFmtId="0" fontId="23" fillId="12" borderId="37" xfId="0" applyFont="1" applyFill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10" fillId="0" borderId="22" xfId="0" applyFont="1" applyBorder="1"/>
    <xf numFmtId="0" fontId="6" fillId="2" borderId="17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5" fillId="0" borderId="36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/>
    <xf numFmtId="1" fontId="7" fillId="0" borderId="6" xfId="0" applyNumberFormat="1" applyFont="1" applyBorder="1" applyAlignment="1">
      <alignment horizontal="center" vertical="center"/>
    </xf>
    <xf numFmtId="0" fontId="10" fillId="0" borderId="6" xfId="0" applyFont="1" applyBorder="1"/>
    <xf numFmtId="0" fontId="10" fillId="0" borderId="8" xfId="0" applyFont="1" applyBorder="1"/>
    <xf numFmtId="1" fontId="7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23" fillId="0" borderId="7" xfId="0" applyFont="1" applyBorder="1" applyAlignment="1">
      <alignment horizontal="center" vertical="center" wrapText="1"/>
    </xf>
    <xf numFmtId="0" fontId="24" fillId="0" borderId="9" xfId="0" applyFont="1" applyBorder="1"/>
    <xf numFmtId="0" fontId="24" fillId="0" borderId="10" xfId="0" applyFont="1" applyBorder="1"/>
    <xf numFmtId="0" fontId="20" fillId="5" borderId="13" xfId="0" applyFont="1" applyFill="1" applyBorder="1" applyAlignment="1">
      <alignment horizontal="center" vertical="center" wrapText="1"/>
    </xf>
    <xf numFmtId="0" fontId="24" fillId="0" borderId="14" xfId="0" applyFont="1" applyBorder="1"/>
    <xf numFmtId="0" fontId="24" fillId="0" borderId="15" xfId="0" applyFont="1" applyBorder="1"/>
    <xf numFmtId="0" fontId="20" fillId="5" borderId="7" xfId="0" applyFont="1" applyFill="1" applyBorder="1" applyAlignment="1">
      <alignment horizontal="center" vertical="center" wrapText="1"/>
    </xf>
    <xf numFmtId="0" fontId="3" fillId="0" borderId="36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36" xfId="0" applyFont="1" applyBorder="1"/>
    <xf numFmtId="0" fontId="5" fillId="0" borderId="1" xfId="0" applyFont="1" applyBorder="1"/>
    <xf numFmtId="0" fontId="5" fillId="0" borderId="36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37" xfId="0" applyFont="1" applyBorder="1" applyAlignment="1">
      <alignment horizontal="left" vertical="center" wrapText="1"/>
    </xf>
    <xf numFmtId="0" fontId="1" fillId="2" borderId="37" xfId="0" applyFont="1" applyFill="1" applyBorder="1" applyAlignment="1">
      <alignment horizontal="left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10" fillId="0" borderId="37" xfId="0" applyFont="1" applyBorder="1"/>
    <xf numFmtId="0" fontId="1" fillId="0" borderId="2" xfId="0" applyFont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center" vertical="top"/>
    </xf>
    <xf numFmtId="0" fontId="26" fillId="8" borderId="2" xfId="0" applyFont="1" applyFill="1" applyBorder="1" applyAlignment="1" applyProtection="1">
      <alignment horizontal="left" vertical="top" wrapText="1"/>
      <protection locked="0"/>
    </xf>
  </cellXfs>
  <cellStyles count="2">
    <cellStyle name="Hipervínculo" xfId="1" builtinId="8"/>
    <cellStyle name="Normal" xfId="0" builtinId="0"/>
  </cellStyles>
  <dxfs count="30">
    <dxf>
      <font>
        <color theme="1"/>
      </font>
      <fill>
        <patternFill patternType="solid">
          <fgColor rgb="FFFF0000"/>
          <bgColor rgb="FFFF4F4F"/>
        </patternFill>
      </fill>
    </dxf>
    <dxf>
      <font>
        <color theme="1"/>
      </font>
      <fill>
        <patternFill patternType="solid">
          <fgColor rgb="FFFFFF00"/>
          <bgColor rgb="FFFFFF85"/>
        </patternFill>
      </fill>
    </dxf>
    <dxf>
      <font>
        <color theme="1"/>
      </font>
      <fill>
        <patternFill patternType="solid">
          <fgColor rgb="FF2E75B5"/>
          <bgColor theme="4" tint="0.39994506668294322"/>
        </patternFill>
      </fill>
    </dxf>
    <dxf>
      <font>
        <color theme="1"/>
      </font>
      <fill>
        <patternFill patternType="solid">
          <fgColor theme="4"/>
          <bgColor theme="7" tint="0.59996337778862885"/>
        </patternFill>
      </fill>
    </dxf>
    <dxf>
      <font>
        <color theme="1"/>
      </font>
      <fill>
        <patternFill patternType="solid">
          <fgColor rgb="FFFFD965"/>
          <bgColor theme="9" tint="0.79998168889431442"/>
        </patternFill>
      </fill>
    </dxf>
    <dxf>
      <font>
        <color theme="1"/>
      </font>
      <fill>
        <patternFill patternType="solid">
          <fgColor rgb="FFA5A5A5"/>
          <bgColor rgb="FFE2CFED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D965"/>
          <bgColor rgb="FFFFD965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CC2E5"/>
          <bgColor rgb="FF9CC2E5"/>
        </patternFill>
      </fill>
    </dxf>
    <dxf>
      <font>
        <color theme="1"/>
      </font>
      <fill>
        <patternFill patternType="solid">
          <fgColor rgb="FFBFBFBF"/>
          <bgColor rgb="FFBFBFBF"/>
        </patternFill>
      </fill>
    </dxf>
    <dxf>
      <font>
        <color theme="1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D965"/>
          <bgColor rgb="FFFFD965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CC2E5"/>
          <bgColor rgb="FF9CC2E5"/>
        </patternFill>
      </fill>
    </dxf>
    <dxf>
      <font>
        <color theme="1"/>
      </font>
      <fill>
        <patternFill patternType="solid">
          <fgColor rgb="FFBFBFBF"/>
          <bgColor rgb="FFBFBFBF"/>
        </patternFill>
      </fill>
    </dxf>
    <dxf>
      <font>
        <color theme="1"/>
      </font>
      <fill>
        <patternFill patternType="solid">
          <fgColor rgb="FF7F7F7F"/>
          <bgColor rgb="FF7F7F7F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D965"/>
          <bgColor rgb="FFFFD965"/>
        </patternFill>
      </fill>
    </dxf>
    <dxf>
      <font>
        <color theme="1"/>
      </font>
      <fill>
        <patternFill patternType="solid">
          <fgColor rgb="FFA8D08D"/>
          <bgColor rgb="FFA8D08D"/>
        </patternFill>
      </fill>
    </dxf>
    <dxf>
      <font>
        <color theme="1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9CC2E5"/>
          <bgColor rgb="FF9CC2E5"/>
        </patternFill>
      </fill>
    </dxf>
    <dxf>
      <font>
        <color theme="1"/>
      </font>
      <fill>
        <patternFill patternType="solid">
          <fgColor rgb="FFBFBFBF"/>
          <bgColor rgb="FFBFBFBF"/>
        </patternFill>
      </fill>
    </dxf>
    <dxf>
      <font>
        <color theme="1"/>
      </font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FF4F4F"/>
      <color rgb="FFFFFF85"/>
      <color rgb="FFE2C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UBIGEO\BUG\INC-EACS-001.png" TargetMode="External"/><Relationship Id="rId1" Type="http://schemas.openxmlformats.org/officeDocument/2006/relationships/hyperlink" Target="..\UBIGEO\BUG\INC-EACS-00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AA44"/>
  <sheetViews>
    <sheetView showGridLines="0" topLeftCell="A10" zoomScale="85" zoomScaleNormal="85" workbookViewId="0">
      <selection activeCell="E18" sqref="E18"/>
    </sheetView>
  </sheetViews>
  <sheetFormatPr baseColWidth="10" defaultColWidth="23.125" defaultRowHeight="14.25" x14ac:dyDescent="0.2"/>
  <cols>
    <col min="1" max="1" width="8.875" customWidth="1"/>
    <col min="2" max="2" width="21.125" customWidth="1"/>
    <col min="3" max="3" width="43" customWidth="1"/>
    <col min="4" max="4" width="17.875" customWidth="1"/>
    <col min="5" max="5" width="39.5" customWidth="1"/>
    <col min="6" max="6" width="12.125" customWidth="1"/>
    <col min="7" max="7" width="17.625" bestFit="1" customWidth="1"/>
    <col min="8" max="8" width="13.75" bestFit="1" customWidth="1"/>
  </cols>
  <sheetData>
    <row r="2" spans="2:27" ht="15" x14ac:dyDescent="0.25">
      <c r="B2" s="1"/>
      <c r="C2" s="180" t="s">
        <v>0</v>
      </c>
      <c r="D2" s="181"/>
      <c r="E2" s="181"/>
      <c r="F2" s="5" t="s">
        <v>184</v>
      </c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2:27" ht="15" x14ac:dyDescent="0.25">
      <c r="B3" s="1"/>
      <c r="C3" s="3"/>
      <c r="D3" s="3"/>
      <c r="E3" s="3"/>
      <c r="F3" s="9"/>
      <c r="G3" s="9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 ht="37.5" customHeight="1" x14ac:dyDescent="0.2">
      <c r="B4" s="62" t="s">
        <v>140</v>
      </c>
      <c r="C4" s="144" t="s">
        <v>1</v>
      </c>
      <c r="D4" s="144" t="s">
        <v>2</v>
      </c>
      <c r="E4" s="144" t="s">
        <v>3</v>
      </c>
      <c r="F4" s="144" t="s">
        <v>4</v>
      </c>
      <c r="G4" s="144" t="s">
        <v>4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5.75" customHeight="1" x14ac:dyDescent="0.2">
      <c r="B5" s="10" t="s">
        <v>5</v>
      </c>
      <c r="C5" s="11" t="s">
        <v>146</v>
      </c>
      <c r="D5" s="12">
        <v>46281</v>
      </c>
      <c r="E5" s="12">
        <v>46281</v>
      </c>
      <c r="F5" s="55">
        <f>_xlfn.DAYS(E5,D5)+1</f>
        <v>1</v>
      </c>
      <c r="G5" s="182">
        <f>SUM(F5:F7)</f>
        <v>3</v>
      </c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5" x14ac:dyDescent="0.2">
      <c r="B6" s="10" t="s">
        <v>6</v>
      </c>
      <c r="C6" s="56" t="s">
        <v>147</v>
      </c>
      <c r="D6" s="12">
        <v>46282</v>
      </c>
      <c r="E6" s="12">
        <v>46282</v>
      </c>
      <c r="F6" s="55">
        <f t="shared" ref="F6:F11" si="0">_xlfn.DAYS(E6,D6)+1</f>
        <v>1</v>
      </c>
      <c r="G6" s="183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5" x14ac:dyDescent="0.2">
      <c r="B7" s="10" t="s">
        <v>7</v>
      </c>
      <c r="C7" s="57" t="s">
        <v>148</v>
      </c>
      <c r="D7" s="12">
        <v>46283</v>
      </c>
      <c r="E7" s="12">
        <v>46283</v>
      </c>
      <c r="F7" s="55">
        <f t="shared" si="0"/>
        <v>1</v>
      </c>
      <c r="G7" s="184"/>
      <c r="H7" s="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5" x14ac:dyDescent="0.2">
      <c r="B8" s="10" t="s">
        <v>8</v>
      </c>
      <c r="C8" s="57" t="s">
        <v>149</v>
      </c>
      <c r="D8" s="12">
        <v>46284</v>
      </c>
      <c r="E8" s="12">
        <v>46284</v>
      </c>
      <c r="F8" s="55">
        <f t="shared" si="0"/>
        <v>1</v>
      </c>
      <c r="G8" s="185">
        <f>SUM(F8:F11)</f>
        <v>4</v>
      </c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5" x14ac:dyDescent="0.25">
      <c r="B9" s="14" t="s">
        <v>9</v>
      </c>
      <c r="C9" s="57" t="s">
        <v>66</v>
      </c>
      <c r="D9" s="12">
        <v>46285</v>
      </c>
      <c r="E9" s="12">
        <v>46285</v>
      </c>
      <c r="F9" s="55">
        <f>_xlfn.DAYS(E9,D9)+1</f>
        <v>1</v>
      </c>
      <c r="G9" s="183"/>
      <c r="H9" s="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5" x14ac:dyDescent="0.25">
      <c r="B10" s="14" t="s">
        <v>10</v>
      </c>
      <c r="C10" s="58" t="s">
        <v>150</v>
      </c>
      <c r="D10" s="12">
        <v>46286</v>
      </c>
      <c r="E10" s="12">
        <v>46286</v>
      </c>
      <c r="F10" s="55">
        <f t="shared" si="0"/>
        <v>1</v>
      </c>
      <c r="G10" s="183"/>
      <c r="H10" s="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5" x14ac:dyDescent="0.25">
      <c r="B11" s="14" t="s">
        <v>11</v>
      </c>
      <c r="C11" s="58" t="s">
        <v>151</v>
      </c>
      <c r="D11" s="12">
        <v>46287</v>
      </c>
      <c r="E11" s="12">
        <v>46287</v>
      </c>
      <c r="F11" s="55">
        <f t="shared" si="0"/>
        <v>1</v>
      </c>
      <c r="G11" s="183"/>
      <c r="H11" s="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5" x14ac:dyDescent="0.25">
      <c r="B12" s="15"/>
      <c r="C12" s="15"/>
      <c r="D12" s="17"/>
      <c r="E12" s="7"/>
      <c r="F12" s="61">
        <f>SUM(F5:F11)</f>
        <v>7</v>
      </c>
      <c r="G12" s="10">
        <f>SUM(G8,G5)</f>
        <v>7</v>
      </c>
      <c r="H12" s="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x14ac:dyDescent="0.2">
      <c r="B13" s="7"/>
      <c r="C13" s="7"/>
      <c r="D13" s="7"/>
      <c r="E13" s="7"/>
      <c r="F13" s="7"/>
      <c r="G13" s="7"/>
      <c r="H13" s="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5" x14ac:dyDescent="0.2">
      <c r="B14" s="173" t="s">
        <v>14</v>
      </c>
      <c r="C14" s="173" t="s">
        <v>16</v>
      </c>
      <c r="D14" s="173" t="s">
        <v>17</v>
      </c>
      <c r="E14" s="203" t="s">
        <v>18</v>
      </c>
      <c r="F14" s="205" t="s">
        <v>18</v>
      </c>
      <c r="G14" s="206"/>
      <c r="H14" s="20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5" x14ac:dyDescent="0.2">
      <c r="B15" s="174"/>
      <c r="C15" s="174"/>
      <c r="D15" s="174"/>
      <c r="E15" s="174"/>
      <c r="F15" s="204" t="s">
        <v>22</v>
      </c>
      <c r="G15" s="204" t="s">
        <v>25</v>
      </c>
      <c r="H15" s="204" t="s">
        <v>15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5" x14ac:dyDescent="0.2">
      <c r="B16" s="175" t="s">
        <v>29</v>
      </c>
      <c r="C16" s="169" t="s">
        <v>160</v>
      </c>
      <c r="D16" s="170" t="s">
        <v>161</v>
      </c>
      <c r="E16" s="201" t="s">
        <v>173</v>
      </c>
      <c r="F16" s="10" t="s">
        <v>8</v>
      </c>
      <c r="G16" s="143" t="s">
        <v>39</v>
      </c>
      <c r="H16" s="86" t="s">
        <v>46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42.75" x14ac:dyDescent="0.2">
      <c r="B17" s="176"/>
      <c r="C17" s="169" t="s">
        <v>160</v>
      </c>
      <c r="D17" s="170" t="s">
        <v>162</v>
      </c>
      <c r="E17" s="201" t="s">
        <v>175</v>
      </c>
      <c r="F17" s="10" t="s">
        <v>8</v>
      </c>
      <c r="G17" s="143" t="s">
        <v>39</v>
      </c>
      <c r="H17" s="86" t="s">
        <v>46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42.75" x14ac:dyDescent="0.2">
      <c r="B18" s="176"/>
      <c r="C18" s="169" t="s">
        <v>160</v>
      </c>
      <c r="D18" s="170" t="s">
        <v>163</v>
      </c>
      <c r="E18" s="202" t="s">
        <v>176</v>
      </c>
      <c r="F18" s="10" t="s">
        <v>8</v>
      </c>
      <c r="G18" s="143" t="s">
        <v>39</v>
      </c>
      <c r="H18" s="86" t="s">
        <v>46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57" x14ac:dyDescent="0.2">
      <c r="B19" s="176"/>
      <c r="C19" s="169" t="s">
        <v>160</v>
      </c>
      <c r="D19" s="170" t="s">
        <v>45</v>
      </c>
      <c r="E19" s="201" t="s">
        <v>177</v>
      </c>
      <c r="F19" s="10" t="s">
        <v>8</v>
      </c>
      <c r="G19" s="143" t="s">
        <v>39</v>
      </c>
      <c r="H19" s="86" t="s">
        <v>46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42.75" x14ac:dyDescent="0.2">
      <c r="B20" s="176"/>
      <c r="C20" s="169" t="s">
        <v>164</v>
      </c>
      <c r="D20" s="170" t="s">
        <v>47</v>
      </c>
      <c r="E20" s="201" t="s">
        <v>174</v>
      </c>
      <c r="F20" s="10" t="s">
        <v>8</v>
      </c>
      <c r="G20" s="143" t="s">
        <v>39</v>
      </c>
      <c r="H20" s="86" t="s">
        <v>46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28.5" x14ac:dyDescent="0.2">
      <c r="B21" s="176"/>
      <c r="C21" s="169" t="s">
        <v>164</v>
      </c>
      <c r="D21" s="170" t="s">
        <v>50</v>
      </c>
      <c r="E21" s="201" t="s">
        <v>178</v>
      </c>
      <c r="F21" s="10" t="s">
        <v>8</v>
      </c>
      <c r="G21" s="143" t="s">
        <v>39</v>
      </c>
      <c r="H21" s="86" t="s">
        <v>46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28.5" x14ac:dyDescent="0.2">
      <c r="B22" s="176"/>
      <c r="C22" s="169" t="s">
        <v>164</v>
      </c>
      <c r="D22" s="170" t="s">
        <v>52</v>
      </c>
      <c r="E22" s="201" t="s">
        <v>179</v>
      </c>
      <c r="F22" s="10" t="s">
        <v>8</v>
      </c>
      <c r="G22" s="143" t="s">
        <v>39</v>
      </c>
      <c r="H22" s="86" t="s">
        <v>46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42.75" x14ac:dyDescent="0.2">
      <c r="B23" s="176"/>
      <c r="C23" s="169" t="s">
        <v>165</v>
      </c>
      <c r="D23" s="170" t="s">
        <v>166</v>
      </c>
      <c r="E23" s="201" t="s">
        <v>180</v>
      </c>
      <c r="F23" s="10" t="s">
        <v>8</v>
      </c>
      <c r="G23" s="143" t="s">
        <v>39</v>
      </c>
      <c r="H23" s="86" t="s">
        <v>46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28.5" x14ac:dyDescent="0.2">
      <c r="B24" s="176"/>
      <c r="C24" s="169" t="s">
        <v>165</v>
      </c>
      <c r="D24" s="170" t="s">
        <v>53</v>
      </c>
      <c r="E24" s="201" t="s">
        <v>181</v>
      </c>
      <c r="F24" s="10" t="s">
        <v>8</v>
      </c>
      <c r="G24" s="143" t="s">
        <v>39</v>
      </c>
      <c r="H24" s="86" t="s">
        <v>46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5" x14ac:dyDescent="0.2">
      <c r="B25" s="176"/>
      <c r="C25" s="169" t="s">
        <v>165</v>
      </c>
      <c r="D25" s="170" t="s">
        <v>54</v>
      </c>
      <c r="E25" s="202" t="s">
        <v>182</v>
      </c>
      <c r="F25" s="10" t="s">
        <v>8</v>
      </c>
      <c r="G25" s="143" t="s">
        <v>39</v>
      </c>
      <c r="H25" s="86" t="s">
        <v>46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5" x14ac:dyDescent="0.2">
      <c r="B26" s="176"/>
      <c r="C26" s="169" t="s">
        <v>165</v>
      </c>
      <c r="D26" s="170" t="s">
        <v>172</v>
      </c>
      <c r="E26" s="171" t="s">
        <v>183</v>
      </c>
      <c r="F26" s="10" t="s">
        <v>8</v>
      </c>
      <c r="G26" s="143" t="s">
        <v>39</v>
      </c>
      <c r="H26" s="86" t="s">
        <v>46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42.75" x14ac:dyDescent="0.2">
      <c r="B27" s="175" t="s">
        <v>152</v>
      </c>
      <c r="C27" s="22" t="s">
        <v>57</v>
      </c>
      <c r="D27" s="23" t="s">
        <v>58</v>
      </c>
      <c r="E27" s="141" t="s">
        <v>131</v>
      </c>
      <c r="F27" s="59" t="s">
        <v>5</v>
      </c>
      <c r="G27" s="143" t="s">
        <v>39</v>
      </c>
      <c r="H27" s="86" t="s">
        <v>46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5" x14ac:dyDescent="0.2">
      <c r="B28" s="176"/>
      <c r="C28" s="22" t="s">
        <v>57</v>
      </c>
      <c r="D28" s="60" t="s">
        <v>59</v>
      </c>
      <c r="E28" s="141" t="s">
        <v>141</v>
      </c>
      <c r="F28" s="10" t="s">
        <v>5</v>
      </c>
      <c r="G28" s="143" t="s">
        <v>39</v>
      </c>
      <c r="H28" s="86" t="s">
        <v>46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42.75" x14ac:dyDescent="0.25">
      <c r="B29" s="176"/>
      <c r="C29" s="22" t="s">
        <v>57</v>
      </c>
      <c r="D29" s="23" t="s">
        <v>61</v>
      </c>
      <c r="E29" s="141" t="s">
        <v>134</v>
      </c>
      <c r="F29" s="14" t="s">
        <v>9</v>
      </c>
      <c r="G29" s="143" t="s">
        <v>39</v>
      </c>
      <c r="H29" s="86" t="s">
        <v>46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85.5" x14ac:dyDescent="0.25">
      <c r="B30" s="176"/>
      <c r="C30" s="22" t="s">
        <v>57</v>
      </c>
      <c r="D30" s="60" t="s">
        <v>63</v>
      </c>
      <c r="E30" s="141" t="s">
        <v>135</v>
      </c>
      <c r="F30" s="14" t="s">
        <v>11</v>
      </c>
      <c r="G30" s="143" t="s">
        <v>39</v>
      </c>
      <c r="H30" s="86" t="s">
        <v>46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5" x14ac:dyDescent="0.2">
      <c r="B31" s="176"/>
      <c r="C31" s="22" t="s">
        <v>60</v>
      </c>
      <c r="D31" s="23" t="s">
        <v>132</v>
      </c>
      <c r="E31" s="141" t="s">
        <v>133</v>
      </c>
      <c r="F31" s="10" t="s">
        <v>6</v>
      </c>
      <c r="G31" s="143" t="s">
        <v>39</v>
      </c>
      <c r="H31" s="86" t="s">
        <v>46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42.75" x14ac:dyDescent="0.2">
      <c r="B32" s="177"/>
      <c r="C32" s="22" t="s">
        <v>62</v>
      </c>
      <c r="D32" s="60" t="s">
        <v>136</v>
      </c>
      <c r="E32" s="141" t="s">
        <v>64</v>
      </c>
      <c r="F32" s="10" t="s">
        <v>7</v>
      </c>
      <c r="G32" s="143" t="s">
        <v>39</v>
      </c>
      <c r="H32" s="86" t="s">
        <v>46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5" x14ac:dyDescent="0.25">
      <c r="B33" s="175" t="s">
        <v>153</v>
      </c>
      <c r="C33" s="24" t="s">
        <v>66</v>
      </c>
      <c r="D33" s="25" t="s">
        <v>67</v>
      </c>
      <c r="E33" s="142" t="s">
        <v>68</v>
      </c>
      <c r="F33" s="14" t="s">
        <v>9</v>
      </c>
      <c r="G33" s="143" t="s">
        <v>39</v>
      </c>
      <c r="H33" s="86" t="s">
        <v>46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5" x14ac:dyDescent="0.25">
      <c r="B34" s="177"/>
      <c r="C34" s="24" t="s">
        <v>69</v>
      </c>
      <c r="D34" s="25" t="s">
        <v>70</v>
      </c>
      <c r="E34" s="142" t="s">
        <v>71</v>
      </c>
      <c r="F34" s="14" t="s">
        <v>10</v>
      </c>
      <c r="G34" s="143" t="s">
        <v>39</v>
      </c>
      <c r="H34" s="86" t="s">
        <v>46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x14ac:dyDescent="0.2">
      <c r="B35" s="7"/>
      <c r="C35" s="7"/>
      <c r="D35" s="7"/>
      <c r="E35" s="7"/>
      <c r="F35" s="7"/>
      <c r="G35" s="7"/>
      <c r="H35" s="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x14ac:dyDescent="0.2">
      <c r="B36" s="7"/>
      <c r="C36" s="7"/>
      <c r="D36" s="7"/>
      <c r="E36" s="7"/>
      <c r="F36" s="7"/>
      <c r="G36" s="7"/>
      <c r="H36" s="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5" x14ac:dyDescent="0.25">
      <c r="B37" s="26" t="s">
        <v>72</v>
      </c>
      <c r="C37" s="27"/>
      <c r="D37" s="26"/>
      <c r="E37" s="2"/>
      <c r="F37" s="4"/>
      <c r="G37" s="4"/>
      <c r="H37" s="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x14ac:dyDescent="0.2">
      <c r="B38" s="28" t="s">
        <v>44</v>
      </c>
      <c r="C38" s="178" t="s">
        <v>73</v>
      </c>
      <c r="D38" s="179"/>
      <c r="E38" s="179"/>
      <c r="F38" s="179"/>
      <c r="G38" s="179"/>
      <c r="H38" s="17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x14ac:dyDescent="0.2">
      <c r="B39" s="29" t="s">
        <v>42</v>
      </c>
      <c r="C39" s="139" t="s">
        <v>74</v>
      </c>
      <c r="D39" s="140"/>
      <c r="E39" s="140"/>
      <c r="F39" s="140"/>
      <c r="G39" s="140"/>
      <c r="H39" s="13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x14ac:dyDescent="0.2">
      <c r="B40" s="30" t="s">
        <v>43</v>
      </c>
      <c r="C40" s="178" t="s">
        <v>75</v>
      </c>
      <c r="D40" s="179"/>
      <c r="E40" s="179"/>
      <c r="F40" s="179"/>
      <c r="G40" s="179"/>
      <c r="H40" s="17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x14ac:dyDescent="0.2">
      <c r="B41" s="31" t="s">
        <v>46</v>
      </c>
      <c r="C41" s="178" t="s">
        <v>76</v>
      </c>
      <c r="D41" s="179"/>
      <c r="E41" s="179"/>
      <c r="F41" s="179"/>
      <c r="G41" s="179"/>
      <c r="H41" s="17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x14ac:dyDescent="0.2">
      <c r="B42" s="32" t="s">
        <v>48</v>
      </c>
      <c r="C42" s="178" t="s">
        <v>77</v>
      </c>
      <c r="D42" s="179"/>
      <c r="E42" s="179"/>
      <c r="F42" s="179"/>
      <c r="G42" s="179"/>
      <c r="H42" s="17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x14ac:dyDescent="0.2">
      <c r="B43" s="33" t="s">
        <v>49</v>
      </c>
      <c r="C43" s="178" t="s">
        <v>78</v>
      </c>
      <c r="D43" s="179"/>
      <c r="E43" s="179"/>
      <c r="F43" s="179"/>
      <c r="G43" s="179"/>
      <c r="H43" s="17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6.5" x14ac:dyDescent="0.3">
      <c r="B44" s="34"/>
      <c r="C44" s="34"/>
      <c r="D44" s="34"/>
      <c r="E44" s="34"/>
      <c r="F44" s="34"/>
      <c r="G44" s="34"/>
      <c r="H44" s="34"/>
    </row>
  </sheetData>
  <sheetProtection algorithmName="SHA-512" hashValue="Twe8kYjTL6vj4kZmtuFnD4LH3BY4dm5Lkwo+t8hOcbz0VrJM8ZwvEJISiGuRleeb7KQp0SR96EbTffpnseuHWQ==" saltValue="u2OL3FoUpFIUyEuiigV/kw==" spinCount="100000" sheet="1" objects="1" scenarios="1" selectLockedCells="1" selectUnlockedCells="1"/>
  <mergeCells count="16">
    <mergeCell ref="C41:H41"/>
    <mergeCell ref="C40:H40"/>
    <mergeCell ref="C42:H42"/>
    <mergeCell ref="C43:H43"/>
    <mergeCell ref="C2:E2"/>
    <mergeCell ref="G5:G7"/>
    <mergeCell ref="G8:G11"/>
    <mergeCell ref="C14:C15"/>
    <mergeCell ref="D14:D15"/>
    <mergeCell ref="E14:E15"/>
    <mergeCell ref="F14:H14"/>
    <mergeCell ref="B14:B15"/>
    <mergeCell ref="B16:B26"/>
    <mergeCell ref="B27:B32"/>
    <mergeCell ref="B33:B34"/>
    <mergeCell ref="C38:H38"/>
  </mergeCells>
  <conditionalFormatting sqref="H16:H34">
    <cfRule type="cellIs" dxfId="29" priority="44" operator="equal">
      <formula>$B$44</formula>
    </cfRule>
    <cfRule type="cellIs" dxfId="28" priority="45" operator="equal">
      <formula>$B$43</formula>
    </cfRule>
    <cfRule type="cellIs" dxfId="27" priority="46" operator="equal">
      <formula>$B$42</formula>
    </cfRule>
    <cfRule type="cellIs" dxfId="26" priority="47" operator="equal">
      <formula>$B$40</formula>
    </cfRule>
    <cfRule type="cellIs" dxfId="25" priority="48" operator="equal">
      <formula>$B$41</formula>
    </cfRule>
    <cfRule type="cellIs" dxfId="24" priority="49" operator="equal">
      <formula>$B$39</formula>
    </cfRule>
    <cfRule type="cellIs" dxfId="23" priority="50" operator="equal">
      <formula>$B$38</formula>
    </cfRule>
  </conditionalFormatting>
  <dataValidations count="2">
    <dataValidation type="list" allowBlank="1" showErrorMessage="1" sqref="H16:H19 H32:H34 H25:H26 H21:H23 H28:H30" xr:uid="{BD34D124-6EED-4B78-9987-522450FD2789}">
      <formula1>$C$32:$C$37</formula1>
    </dataValidation>
    <dataValidation type="list" allowBlank="1" showErrorMessage="1" sqref="H31 H27 H24 H20" xr:uid="{DDE30F3E-DCAB-4296-93AF-2001BF0DA309}">
      <formula1>$B$38:$B$43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outlinePr summaryBelow="0" summaryRight="0"/>
  </sheetPr>
  <dimension ref="A1:Y38"/>
  <sheetViews>
    <sheetView showGridLines="0" topLeftCell="A16" zoomScale="85" zoomScaleNormal="85" workbookViewId="0">
      <selection activeCell="C17" sqref="C17:G24"/>
    </sheetView>
  </sheetViews>
  <sheetFormatPr baseColWidth="10" defaultColWidth="12.625" defaultRowHeight="14.25" x14ac:dyDescent="0.2"/>
  <cols>
    <col min="1" max="1" width="2.25" style="63" customWidth="1"/>
    <col min="2" max="2" width="15.625" style="63" customWidth="1"/>
    <col min="3" max="3" width="38.375" style="63" customWidth="1"/>
    <col min="4" max="4" width="12.625" style="63" customWidth="1"/>
    <col min="5" max="5" width="13.75" style="63" bestFit="1" customWidth="1"/>
    <col min="6" max="6" width="51.125" style="63" customWidth="1"/>
    <col min="7" max="7" width="53.625" style="63" customWidth="1"/>
    <col min="8" max="8" width="11.75" style="63" bestFit="1" customWidth="1"/>
    <col min="9" max="13" width="11.5" style="63" customWidth="1"/>
    <col min="14" max="14" width="17.375" style="63" customWidth="1"/>
    <col min="15" max="15" width="12.375" style="63" bestFit="1" customWidth="1"/>
    <col min="16" max="16" width="12.625" style="63"/>
    <col min="17" max="17" width="21" style="63" customWidth="1"/>
    <col min="18" max="18" width="11.75" style="63" customWidth="1"/>
    <col min="19" max="19" width="18.5" style="63" customWidth="1"/>
    <col min="20" max="20" width="22.375" style="63" customWidth="1"/>
    <col min="21" max="21" width="19.75" style="63" customWidth="1"/>
    <col min="22" max="22" width="23.375" style="63" customWidth="1"/>
    <col min="23" max="23" width="20.875" style="63" customWidth="1"/>
    <col min="24" max="24" width="20.375" style="63" customWidth="1"/>
    <col min="25" max="25" width="11.75" style="63" bestFit="1" customWidth="1"/>
    <col min="26" max="16384" width="12.625" style="63"/>
  </cols>
  <sheetData>
    <row r="1" spans="1:25" ht="15" thickBot="1" x14ac:dyDescent="0.25">
      <c r="C1" s="64"/>
      <c r="H1" s="64"/>
      <c r="I1" s="64"/>
      <c r="J1" s="65"/>
      <c r="K1" s="64"/>
      <c r="L1" s="64"/>
      <c r="M1" s="64"/>
      <c r="N1" s="66"/>
    </row>
    <row r="2" spans="1:25" ht="15" thickBot="1" x14ac:dyDescent="0.25">
      <c r="B2" s="188" t="str">
        <f>CONCATENATE("Pruebas de Certificación del Sistema 
",TEXT('PLAN DE EJECUCION'!D5, "dd/mm/yyyy")," - ",TEXT('PLAN DE EJECUCION'!E11, "dd/mm/yyyy"))</f>
        <v>Pruebas de Certificación del Sistema 
16/09/2026 - 22/09/2026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90"/>
    </row>
    <row r="3" spans="1:25" ht="15.75" thickBot="1" x14ac:dyDescent="0.3">
      <c r="A3" s="67"/>
      <c r="B3" s="68"/>
      <c r="C3" s="69"/>
      <c r="D3" s="67"/>
      <c r="E3" s="67"/>
      <c r="F3" s="67"/>
      <c r="G3" s="67"/>
      <c r="H3" s="69"/>
      <c r="I3" s="69"/>
      <c r="J3" s="69"/>
      <c r="K3" s="69"/>
      <c r="L3" s="69"/>
      <c r="M3" s="69"/>
      <c r="N3" s="70"/>
      <c r="O3" s="67"/>
    </row>
    <row r="4" spans="1:25" ht="15" thickBot="1" x14ac:dyDescent="0.25">
      <c r="C4" s="64"/>
      <c r="F4" s="191" t="str">
        <f>CONCATENATE("Resumen de Incidencias de la Revisión Funcional y Técnicas - Sistema ",'PLAN DE EJECUCION'!$F$2)</f>
        <v>Resumen de Incidencias de la Revisión Funcional y Técnicas - Sistema Buscador Temático de Resoluciones del Tribunal Superior de Responsabilidades Administrativas (TSRA)</v>
      </c>
      <c r="G4" s="192"/>
      <c r="H4" s="192"/>
      <c r="I4" s="192"/>
      <c r="J4" s="192"/>
      <c r="K4" s="192"/>
      <c r="L4" s="192"/>
      <c r="M4" s="192"/>
      <c r="N4" s="192"/>
      <c r="O4" s="193"/>
      <c r="Q4" s="194" t="str">
        <f>CONCATENATE("Resumen de Avance de la Revisión Funcional y Técnicas - Sistema ",'PLAN DE EJECUCION'!$F$2)</f>
        <v>Resumen de Avance de la Revisión Funcional y Técnicas - Sistema Buscador Temático de Resoluciones del Tribunal Superior de Responsabilidades Administrativas (TSRA)</v>
      </c>
      <c r="R4" s="189"/>
      <c r="S4" s="189"/>
      <c r="T4" s="189"/>
      <c r="U4" s="189"/>
      <c r="V4" s="189"/>
      <c r="W4" s="189"/>
      <c r="X4" s="189"/>
      <c r="Y4" s="190"/>
    </row>
    <row r="5" spans="1:25" s="145" customFormat="1" ht="45.75" thickBot="1" x14ac:dyDescent="0.25">
      <c r="B5" s="71" t="s">
        <v>14</v>
      </c>
      <c r="C5" s="72" t="s">
        <v>16</v>
      </c>
      <c r="D5" s="71" t="s">
        <v>17</v>
      </c>
      <c r="E5" s="72" t="s">
        <v>20</v>
      </c>
      <c r="F5" s="71" t="s">
        <v>21</v>
      </c>
      <c r="G5" s="73" t="s">
        <v>23</v>
      </c>
      <c r="H5" s="73" t="s">
        <v>27</v>
      </c>
      <c r="I5" s="146" t="s">
        <v>31</v>
      </c>
      <c r="J5" s="147" t="s">
        <v>32</v>
      </c>
      <c r="K5" s="148" t="s">
        <v>34</v>
      </c>
      <c r="L5" s="149" t="s">
        <v>37</v>
      </c>
      <c r="M5" s="150" t="s">
        <v>38</v>
      </c>
      <c r="N5" s="71" t="s">
        <v>40</v>
      </c>
      <c r="O5" s="73" t="s">
        <v>120</v>
      </c>
      <c r="Q5" s="71" t="s">
        <v>40</v>
      </c>
      <c r="R5" s="72" t="s">
        <v>41</v>
      </c>
      <c r="S5" s="118" t="s">
        <v>42</v>
      </c>
      <c r="T5" s="119" t="s">
        <v>43</v>
      </c>
      <c r="U5" s="120" t="s">
        <v>44</v>
      </c>
      <c r="V5" s="121" t="s">
        <v>46</v>
      </c>
      <c r="W5" s="122" t="s">
        <v>48</v>
      </c>
      <c r="X5" s="123" t="s">
        <v>49</v>
      </c>
      <c r="Y5" s="132" t="s">
        <v>51</v>
      </c>
    </row>
    <row r="6" spans="1:25" ht="15.75" thickBot="1" x14ac:dyDescent="0.25">
      <c r="B6" s="175" t="s">
        <v>29</v>
      </c>
      <c r="C6" s="79" t="str">
        <f>'PLAN DE EJECUCION'!$C16</f>
        <v>Búsqueda y Filtros</v>
      </c>
      <c r="D6" s="80" t="str">
        <f>'PLAN DE EJECUCION'!$D16</f>
        <v>CASO 01</v>
      </c>
      <c r="E6" s="81" t="s">
        <v>55</v>
      </c>
      <c r="F6" s="82" t="str">
        <f>'PLAN DE EJECUCION'!$E16</f>
        <v>Buscar resoluciones por texto libre.</v>
      </c>
      <c r="G6" s="172" t="s">
        <v>167</v>
      </c>
      <c r="H6" s="83">
        <f t="shared" ref="H6:H24" si="0">SUM(I6,J6,L6,M6)</f>
        <v>0</v>
      </c>
      <c r="I6" s="84">
        <f t="array" ref="I6">SUMPRODUCT(COUNTIFS('CONSOLIDADO DE INCIDENCIAS'!$M$2:$M$6, 'AVANCE EJECUCIÓN '!$D6, 'CONSOLIDADO DE INCIDENCIAS'!$D$2:$D$6, 'CONSOLIDADO DE INCIDENCIAS'!$B$14:$B$15))</f>
        <v>0</v>
      </c>
      <c r="J6" s="84">
        <f t="array" ref="J6">SUMPRODUCT(COUNTIFS('CONSOLIDADO DE INCIDENCIAS'!$M$2:$M$6, 'AVANCE EJECUCIÓN '!$D6, 'CONSOLIDADO DE INCIDENCIAS'!$D$2:$D$6, 'CONSOLIDADO DE INCIDENCIAS'!$B$11:$B$13))</f>
        <v>0</v>
      </c>
      <c r="K6" s="84">
        <f t="array" ref="K6">SUMPRODUCT(COUNTIFS('CONSOLIDADO DE INCIDENCIAS'!$M$2:$M$6, 'AVANCE EJECUCIÓN '!$D6, 'CONSOLIDADO DE INCIDENCIAS'!$W$2:$W$6, 'CONSOLIDADO DE INCIDENCIAS'!$B$11:$B$13))</f>
        <v>0</v>
      </c>
      <c r="L6" s="84">
        <f>COUNTIFS('CONSOLIDADO DE INCIDENCIAS'!$M$2:$M$6,'AVANCE EJECUCIÓN '!$D6,'CONSOLIDADO DE INCIDENCIAS'!$D$2:$D$6,'CONSOLIDADO DE INCIDENCIAS'!$B$16)</f>
        <v>0</v>
      </c>
      <c r="M6" s="84">
        <f>COUNTIFS('CONSOLIDADO DE INCIDENCIAS'!$M$2:$M$6,'AVANCE EJECUCIÓN '!$D6,'CONSOLIDADO DE INCIDENCIAS'!$D$2:$D$6,'CONSOLIDADO DE INCIDENCIAS'!$B$17)</f>
        <v>0</v>
      </c>
      <c r="N6" s="85" t="s">
        <v>39</v>
      </c>
      <c r="O6" s="86" t="s">
        <v>46</v>
      </c>
      <c r="Q6" s="87" t="s">
        <v>39</v>
      </c>
      <c r="R6" s="88">
        <f t="shared" ref="R6:R10" si="1">SUM(S6:X6)</f>
        <v>19</v>
      </c>
      <c r="S6" s="124">
        <f>COUNTIFS($N$6:$N$24,$Q6,$O$6:$O$24,$B$33)</f>
        <v>0</v>
      </c>
      <c r="T6" s="125">
        <f>COUNTIFS($N$6:$N$24,$Q6,$O$6:$O$24,$B$34)</f>
        <v>0</v>
      </c>
      <c r="U6" s="125">
        <f>COUNTIFS($N$6:$N$24,$Q6,$O$6:$O$24,$B$32)</f>
        <v>0</v>
      </c>
      <c r="V6" s="125">
        <f>COUNTIFS($N$6:$N$24,$Q6,$O$6:$O$24,$B$35)</f>
        <v>19</v>
      </c>
      <c r="W6" s="125">
        <f>COUNTIFS($N$6:$N$24,$Q6,$O$6:$O$24,$B$36)</f>
        <v>0</v>
      </c>
      <c r="X6" s="130">
        <f>COUNTIFS($N$6:$N$24,$Q6,$O$6:$O$24,$B$37)</f>
        <v>0</v>
      </c>
      <c r="Y6" s="129">
        <f>IFERROR(($X52+$W6+V6)/$R6, 0)</f>
        <v>1</v>
      </c>
    </row>
    <row r="7" spans="1:25" ht="29.25" thickBot="1" x14ac:dyDescent="0.25">
      <c r="B7" s="176"/>
      <c r="C7" s="79" t="str">
        <f>'PLAN DE EJECUCION'!$C17</f>
        <v>Búsqueda y Filtros</v>
      </c>
      <c r="D7" s="80" t="str">
        <f>'PLAN DE EJECUCION'!$D17</f>
        <v>CASO 02</v>
      </c>
      <c r="E7" s="81" t="s">
        <v>93</v>
      </c>
      <c r="F7" s="82" t="str">
        <f>'PLAN DE EJECUCION'!$E17</f>
        <v>Filtrar resoluciones por categoría, período, sala y/o entidad de forma individual o combinada.</v>
      </c>
      <c r="G7" s="172" t="s">
        <v>168</v>
      </c>
      <c r="H7" s="89">
        <f t="shared" si="0"/>
        <v>0</v>
      </c>
      <c r="I7" s="90">
        <f t="array" ref="I7">SUMPRODUCT(COUNTIFS('CONSOLIDADO DE INCIDENCIAS'!$M$2:$M$6, 'AVANCE EJECUCIÓN '!$D7, 'CONSOLIDADO DE INCIDENCIAS'!$D$2:$D$6, 'CONSOLIDADO DE INCIDENCIAS'!$B$14:$B$15))</f>
        <v>0</v>
      </c>
      <c r="J7" s="90">
        <f t="array" ref="J7">SUMPRODUCT(COUNTIFS('CONSOLIDADO DE INCIDENCIAS'!$M$2:$M$6, 'AVANCE EJECUCIÓN '!$D7, 'CONSOLIDADO DE INCIDENCIAS'!$D$2:$D$6, 'CONSOLIDADO DE INCIDENCIAS'!$B$11:$B$13))</f>
        <v>0</v>
      </c>
      <c r="K7" s="90">
        <f t="array" ref="K7">SUMPRODUCT(COUNTIFS('CONSOLIDADO DE INCIDENCIAS'!$M$2:$M$6, 'AVANCE EJECUCIÓN '!$D7, 'CONSOLIDADO DE INCIDENCIAS'!$W$2:$W$6, 'CONSOLIDADO DE INCIDENCIAS'!$B$11:$B$13))</f>
        <v>0</v>
      </c>
      <c r="L7" s="90">
        <f>COUNTIFS('CONSOLIDADO DE INCIDENCIAS'!$M$2:$M$6,'AVANCE EJECUCIÓN '!$D7,'CONSOLIDADO DE INCIDENCIAS'!$D$2:$D$6,'CONSOLIDADO DE INCIDENCIAS'!$B$16)</f>
        <v>0</v>
      </c>
      <c r="M7" s="90">
        <f>COUNTIFS('CONSOLIDADO DE INCIDENCIAS'!$M$2:$M$6,'AVANCE EJECUCIÓN '!$D7,'CONSOLIDADO DE INCIDENCIAS'!$D$2:$D$6,'CONSOLIDADO DE INCIDENCIAS'!$B$17)</f>
        <v>0</v>
      </c>
      <c r="N7" s="82" t="s">
        <v>39</v>
      </c>
      <c r="O7" s="86" t="s">
        <v>46</v>
      </c>
      <c r="Q7" s="91"/>
      <c r="R7" s="88">
        <f t="shared" si="1"/>
        <v>0</v>
      </c>
      <c r="S7" s="124">
        <f>COUNTIFS($N$6:$N$24,$Q7,$O$6:$O$24,$B$33)</f>
        <v>0</v>
      </c>
      <c r="T7" s="125">
        <f>COUNTIFS($N$6:$N$24,$Q7,$O$6:$O$24,$B$34)</f>
        <v>0</v>
      </c>
      <c r="U7" s="125">
        <f>COUNTIFS($N$6:$N$24,$Q7,$O$6:$O$24,$B$32)</f>
        <v>0</v>
      </c>
      <c r="V7" s="125">
        <f>COUNTIFS($N$6:$N$24,$Q7,$O$6:$O$24,$B$35)</f>
        <v>0</v>
      </c>
      <c r="W7" s="125">
        <f>COUNTIFS($N$6:$N$24,$Q7,$O$6:$O$24,$B$36)</f>
        <v>0</v>
      </c>
      <c r="X7" s="130">
        <f>COUNTIFS($N$6:$N$24,$Q7,$O$6:$O$24,$B$37)</f>
        <v>0</v>
      </c>
      <c r="Y7" s="129">
        <f t="shared" ref="Y7:Y11" si="2">IFERROR(($X7+$W7+V7)/$R7, 0)</f>
        <v>0</v>
      </c>
    </row>
    <row r="8" spans="1:25" ht="43.5" thickBot="1" x14ac:dyDescent="0.25">
      <c r="B8" s="176"/>
      <c r="C8" s="79" t="str">
        <f>'PLAN DE EJECUCION'!$C18</f>
        <v>Búsqueda y Filtros</v>
      </c>
      <c r="D8" s="80" t="str">
        <f>'PLAN DE EJECUCION'!$D18</f>
        <v>CASO 03</v>
      </c>
      <c r="E8" s="81" t="s">
        <v>98</v>
      </c>
      <c r="F8" s="82" t="str">
        <f>'PLAN DE EJECUCION'!$E18</f>
        <v>Realizar búsqueda avanzada de resoluciones mediante la selección jerárquica de categoría, subcategoría e índice temático.</v>
      </c>
      <c r="G8" s="172" t="s">
        <v>169</v>
      </c>
      <c r="H8" s="89">
        <f t="shared" si="0"/>
        <v>3</v>
      </c>
      <c r="I8" s="90">
        <f t="array" ref="I8">SUMPRODUCT(COUNTIFS('CONSOLIDADO DE INCIDENCIAS'!$M$2:$M$6, 'AVANCE EJECUCIÓN '!$D8, 'CONSOLIDADO DE INCIDENCIAS'!$D$2:$D$6, 'CONSOLIDADO DE INCIDENCIAS'!$B$14:$B$15))</f>
        <v>0</v>
      </c>
      <c r="J8" s="90">
        <f t="array" ref="J8">SUMPRODUCT(COUNTIFS('CONSOLIDADO DE INCIDENCIAS'!$M$2:$M$6, 'AVANCE EJECUCIÓN '!$D8, 'CONSOLIDADO DE INCIDENCIAS'!$D$2:$D$6, 'CONSOLIDADO DE INCIDENCIAS'!$B$11:$B$13))</f>
        <v>3</v>
      </c>
      <c r="K8" s="90">
        <f t="array" ref="K8">SUMPRODUCT(COUNTIFS('CONSOLIDADO DE INCIDENCIAS'!$M$2:$M$6, 'AVANCE EJECUCIÓN '!$D8, 'CONSOLIDADO DE INCIDENCIAS'!$W$2:$W$6, 'CONSOLIDADO DE INCIDENCIAS'!$B$11:$B$13))</f>
        <v>3</v>
      </c>
      <c r="L8" s="90">
        <f>COUNTIFS('CONSOLIDADO DE INCIDENCIAS'!$M$2:$M$6,'AVANCE EJECUCIÓN '!$D8,'CONSOLIDADO DE INCIDENCIAS'!$D$2:$D$6,'CONSOLIDADO DE INCIDENCIAS'!$B$16)</f>
        <v>0</v>
      </c>
      <c r="M8" s="90">
        <f>COUNTIFS('CONSOLIDADO DE INCIDENCIAS'!$M$2:$M$6,'AVANCE EJECUCIÓN '!$D8,'CONSOLIDADO DE INCIDENCIAS'!$D$2:$D$6,'CONSOLIDADO DE INCIDENCIAS'!$B$17)</f>
        <v>0</v>
      </c>
      <c r="N8" s="82" t="s">
        <v>39</v>
      </c>
      <c r="O8" s="86" t="s">
        <v>46</v>
      </c>
      <c r="Q8" s="91"/>
      <c r="R8" s="88">
        <f t="shared" si="1"/>
        <v>0</v>
      </c>
      <c r="S8" s="124">
        <f>COUNTIFS($N$6:$N$24,$Q8,$O$6:$O$24,$B$33)</f>
        <v>0</v>
      </c>
      <c r="T8" s="125">
        <f>COUNTIFS($N$6:$N$24,$Q8,$O$6:$O$24,$B$34)</f>
        <v>0</v>
      </c>
      <c r="U8" s="125">
        <f>COUNTIFS($N$6:$N$24,$Q8,$O$6:$O$24,$B$32)</f>
        <v>0</v>
      </c>
      <c r="V8" s="125">
        <f>COUNTIFS($N$6:$N$24,$Q8,$O$6:$O$24,$B$35)</f>
        <v>0</v>
      </c>
      <c r="W8" s="125">
        <f>COUNTIFS($N$6:$N$24,$Q8,$O$6:$O$24,$B$36)</f>
        <v>0</v>
      </c>
      <c r="X8" s="130">
        <f>COUNTIFS($N$6:$N$24,$Q8,$O$6:$O$24,$B$37)</f>
        <v>0</v>
      </c>
      <c r="Y8" s="129">
        <f t="shared" si="2"/>
        <v>0</v>
      </c>
    </row>
    <row r="9" spans="1:25" ht="43.5" thickBot="1" x14ac:dyDescent="0.25">
      <c r="B9" s="176"/>
      <c r="C9" s="79" t="str">
        <f>'PLAN DE EJECUCION'!$C19</f>
        <v>Búsqueda y Filtros</v>
      </c>
      <c r="D9" s="80" t="str">
        <f>'PLAN DE EJECUCION'!$D19</f>
        <v>CASO 04</v>
      </c>
      <c r="E9" s="81" t="s">
        <v>99</v>
      </c>
      <c r="F9" s="82" t="str">
        <f>'PLAN DE EJECUCION'!$E19</f>
        <v>Consultar accesos directos de clasificador temático  (Sistemas Administrativos, Otros Sistemas, Infracciones, Potestad Sancionadora).</v>
      </c>
      <c r="G9" s="207" t="s">
        <v>170</v>
      </c>
      <c r="H9" s="89">
        <f t="shared" si="0"/>
        <v>0</v>
      </c>
      <c r="I9" s="90">
        <f t="array" ref="I9">SUMPRODUCT(COUNTIFS('CONSOLIDADO DE INCIDENCIAS'!$M$2:$M$6, 'AVANCE EJECUCIÓN '!$D9, 'CONSOLIDADO DE INCIDENCIAS'!$D$2:$D$6, 'CONSOLIDADO DE INCIDENCIAS'!$B$14:$B$15))</f>
        <v>0</v>
      </c>
      <c r="J9" s="90">
        <f t="array" ref="J9">SUMPRODUCT(COUNTIFS('CONSOLIDADO DE INCIDENCIAS'!$M$2:$M$6, 'AVANCE EJECUCIÓN '!$D9, 'CONSOLIDADO DE INCIDENCIAS'!$D$2:$D$6, 'CONSOLIDADO DE INCIDENCIAS'!$B$11:$B$13))</f>
        <v>0</v>
      </c>
      <c r="K9" s="90">
        <f t="array" ref="K9">SUMPRODUCT(COUNTIFS('CONSOLIDADO DE INCIDENCIAS'!$M$2:$M$6, 'AVANCE EJECUCIÓN '!$D9, 'CONSOLIDADO DE INCIDENCIAS'!$W$2:$W$6, 'CONSOLIDADO DE INCIDENCIAS'!$B$11:$B$13))</f>
        <v>0</v>
      </c>
      <c r="L9" s="90">
        <f>COUNTIFS('CONSOLIDADO DE INCIDENCIAS'!$M$2:$M$6,'AVANCE EJECUCIÓN '!$D9,'CONSOLIDADO DE INCIDENCIAS'!$D$2:$D$6,'CONSOLIDADO DE INCIDENCIAS'!$B$16)</f>
        <v>0</v>
      </c>
      <c r="M9" s="90">
        <f>COUNTIFS('CONSOLIDADO DE INCIDENCIAS'!$M$2:$M$6,'AVANCE EJECUCIÓN '!$D9,'CONSOLIDADO DE INCIDENCIAS'!$D$2:$D$6,'CONSOLIDADO DE INCIDENCIAS'!$B$17)</f>
        <v>0</v>
      </c>
      <c r="N9" s="82" t="s">
        <v>39</v>
      </c>
      <c r="O9" s="86" t="s">
        <v>46</v>
      </c>
      <c r="Q9" s="92"/>
      <c r="R9" s="88">
        <f t="shared" si="1"/>
        <v>0</v>
      </c>
      <c r="S9" s="124">
        <f>COUNTIFS($N$6:$N$24,$Q9,$O$6:$O$24,$B$33)</f>
        <v>0</v>
      </c>
      <c r="T9" s="125">
        <f>COUNTIFS($N$6:$N$24,$Q9,$O$6:$O$24,$B$34)</f>
        <v>0</v>
      </c>
      <c r="U9" s="125">
        <f>COUNTIFS($N$6:$N$24,$Q9,$O$6:$O$24,$B$32)</f>
        <v>0</v>
      </c>
      <c r="V9" s="125">
        <f>COUNTIFS($N$6:$N$24,$Q9,$O$6:$O$24,$B$35)</f>
        <v>0</v>
      </c>
      <c r="W9" s="125">
        <f>COUNTIFS($N$6:$N$24,$Q9,$O$6:$O$24,$B$36)</f>
        <v>0</v>
      </c>
      <c r="X9" s="130">
        <f>COUNTIFS($N$6:$N$24,$Q9,$O$6:$O$24,$B$37)</f>
        <v>0</v>
      </c>
      <c r="Y9" s="129">
        <f t="shared" si="2"/>
        <v>0</v>
      </c>
    </row>
    <row r="10" spans="1:25" ht="30.75" thickBot="1" x14ac:dyDescent="0.25">
      <c r="B10" s="176"/>
      <c r="C10" s="79" t="str">
        <f>'PLAN DE EJECUCION'!$C20</f>
        <v>Visualización de Resultados y Documentos</v>
      </c>
      <c r="D10" s="80" t="str">
        <f>'PLAN DE EJECUCION'!$D20</f>
        <v>CASO 05</v>
      </c>
      <c r="E10" s="81" t="s">
        <v>100</v>
      </c>
      <c r="F10" s="82" t="str">
        <f>'PLAN DE EJECUCION'!$E20</f>
        <v>Visualizar resultados de búsqueda y navegación numerada sobre el conjunto de resultados.</v>
      </c>
      <c r="G10" s="207" t="s">
        <v>185</v>
      </c>
      <c r="H10" s="83">
        <f t="shared" si="0"/>
        <v>2</v>
      </c>
      <c r="I10" s="84">
        <f t="array" ref="I10">SUMPRODUCT(COUNTIFS('CONSOLIDADO DE INCIDENCIAS'!$M$2:$M$6, 'AVANCE EJECUCIÓN '!$D10, 'CONSOLIDADO DE INCIDENCIAS'!$D$2:$D$6, 'CONSOLIDADO DE INCIDENCIAS'!$B$14:$B$15))</f>
        <v>0</v>
      </c>
      <c r="J10" s="84">
        <f t="array" ref="J10">SUMPRODUCT(COUNTIFS('CONSOLIDADO DE INCIDENCIAS'!$M$2:$M$6, 'AVANCE EJECUCIÓN '!$D10, 'CONSOLIDADO DE INCIDENCIAS'!$D$2:$D$6, 'CONSOLIDADO DE INCIDENCIAS'!$B$11:$B$13))</f>
        <v>2</v>
      </c>
      <c r="K10" s="84">
        <f t="array" ref="K10">SUMPRODUCT(COUNTIFS('CONSOLIDADO DE INCIDENCIAS'!$M$2:$M$6, 'AVANCE EJECUCIÓN '!$D10, 'CONSOLIDADO DE INCIDENCIAS'!$W$2:$W$6, 'CONSOLIDADO DE INCIDENCIAS'!$B$11:$B$13))</f>
        <v>2</v>
      </c>
      <c r="L10" s="84">
        <f>COUNTIFS('CONSOLIDADO DE INCIDENCIAS'!$M$2:$M$6,'AVANCE EJECUCIÓN '!$D10,'CONSOLIDADO DE INCIDENCIAS'!$D$2:$D$6,'CONSOLIDADO DE INCIDENCIAS'!$B$16)</f>
        <v>0</v>
      </c>
      <c r="M10" s="84">
        <f>COUNTIFS('CONSOLIDADO DE INCIDENCIAS'!$M$2:$M$6,'AVANCE EJECUCIÓN '!$D10,'CONSOLIDADO DE INCIDENCIAS'!$D$2:$D$6,'CONSOLIDADO DE INCIDENCIAS'!$B$17)</f>
        <v>0</v>
      </c>
      <c r="N10" s="85" t="s">
        <v>39</v>
      </c>
      <c r="O10" s="86" t="s">
        <v>46</v>
      </c>
      <c r="Q10" s="87"/>
      <c r="R10" s="88">
        <f t="shared" si="1"/>
        <v>0</v>
      </c>
      <c r="S10" s="126">
        <f>COUNTIFS($N$6:$N$24,$Q10,$O$6:$O$24,$B$33)</f>
        <v>0</v>
      </c>
      <c r="T10" s="127">
        <f>COUNTIFS($N$6:$N$24,$Q10,$O$6:$O$24,$B$34)</f>
        <v>0</v>
      </c>
      <c r="U10" s="127">
        <f>COUNTIFS($N$6:$N$24,$Q10,$O$6:$O$24,$B$32)</f>
        <v>0</v>
      </c>
      <c r="V10" s="127">
        <f>COUNTIFS($N$6:$N$24,$Q10,$O$6:$O$24,$B$35)</f>
        <v>0</v>
      </c>
      <c r="W10" s="127">
        <f>COUNTIFS($N$6:$N$24,$Q10,$O$6:$O$24,$B$36)</f>
        <v>0</v>
      </c>
      <c r="X10" s="131">
        <f>COUNTIFS($N$6:$N$24,$Q10,$O$6:$O$24,$B$37)</f>
        <v>0</v>
      </c>
      <c r="Y10" s="134">
        <f t="shared" si="2"/>
        <v>0</v>
      </c>
    </row>
    <row r="11" spans="1:25" ht="31.5" thickTop="1" thickBot="1" x14ac:dyDescent="0.25">
      <c r="B11" s="176"/>
      <c r="C11" s="79" t="str">
        <f>'PLAN DE EJECUCION'!$C21</f>
        <v>Visualización de Resultados y Documentos</v>
      </c>
      <c r="D11" s="80" t="str">
        <f>'PLAN DE EJECUCION'!$D21</f>
        <v>CASO 06</v>
      </c>
      <c r="E11" s="81" t="s">
        <v>101</v>
      </c>
      <c r="F11" s="82" t="str">
        <f>'PLAN DE EJECUCION'!$E21</f>
        <v>Visualizar archivo de la resolución en formato PDF.</v>
      </c>
      <c r="G11" s="207" t="s">
        <v>186</v>
      </c>
      <c r="H11" s="89">
        <f t="shared" si="0"/>
        <v>0</v>
      </c>
      <c r="I11" s="90">
        <f t="array" ref="I11">SUMPRODUCT(COUNTIFS('CONSOLIDADO DE INCIDENCIAS'!$M$2:$M$6, 'AVANCE EJECUCIÓN '!$D11, 'CONSOLIDADO DE INCIDENCIAS'!$D$2:$D$6, 'CONSOLIDADO DE INCIDENCIAS'!$B$14:$B$15))</f>
        <v>0</v>
      </c>
      <c r="J11" s="90">
        <f t="array" ref="J11">SUMPRODUCT(COUNTIFS('CONSOLIDADO DE INCIDENCIAS'!$M$2:$M$6, 'AVANCE EJECUCIÓN '!$D11, 'CONSOLIDADO DE INCIDENCIAS'!$D$2:$D$6, 'CONSOLIDADO DE INCIDENCIAS'!$B$11:$B$13))</f>
        <v>0</v>
      </c>
      <c r="K11" s="90">
        <f t="array" ref="K11">SUMPRODUCT(COUNTIFS('CONSOLIDADO DE INCIDENCIAS'!$M$2:$M$6, 'AVANCE EJECUCIÓN '!$D11, 'CONSOLIDADO DE INCIDENCIAS'!$W$2:$W$6, 'CONSOLIDADO DE INCIDENCIAS'!$B$11:$B$13))</f>
        <v>0</v>
      </c>
      <c r="L11" s="90">
        <f>COUNTIFS('CONSOLIDADO DE INCIDENCIAS'!$M$2:$M$6,'AVANCE EJECUCIÓN '!$D11,'CONSOLIDADO DE INCIDENCIAS'!$D$2:$D$6,'CONSOLIDADO DE INCIDENCIAS'!$B$16)</f>
        <v>0</v>
      </c>
      <c r="M11" s="90">
        <f>COUNTIFS('CONSOLIDADO DE INCIDENCIAS'!$M$2:$M$6,'AVANCE EJECUCIÓN '!$D11,'CONSOLIDADO DE INCIDENCIAS'!$D$2:$D$6,'CONSOLIDADO DE INCIDENCIAS'!$B$17)</f>
        <v>0</v>
      </c>
      <c r="N11" s="82" t="s">
        <v>39</v>
      </c>
      <c r="O11" s="86" t="s">
        <v>46</v>
      </c>
      <c r="Q11" s="71" t="s">
        <v>102</v>
      </c>
      <c r="R11" s="71">
        <f>SUM($R6:$R10)</f>
        <v>19</v>
      </c>
      <c r="S11" s="128">
        <f t="shared" ref="S11:X11" si="3">SUM(S6:S10)</f>
        <v>0</v>
      </c>
      <c r="T11" s="128">
        <f t="shared" si="3"/>
        <v>0</v>
      </c>
      <c r="U11" s="128">
        <f t="shared" si="3"/>
        <v>0</v>
      </c>
      <c r="V11" s="71">
        <f t="shared" si="3"/>
        <v>19</v>
      </c>
      <c r="W11" s="71">
        <f t="shared" si="3"/>
        <v>0</v>
      </c>
      <c r="X11" s="133">
        <f t="shared" si="3"/>
        <v>0</v>
      </c>
      <c r="Y11" s="135">
        <f t="shared" si="2"/>
        <v>1</v>
      </c>
    </row>
    <row r="12" spans="1:25" ht="30" x14ac:dyDescent="0.2">
      <c r="B12" s="176"/>
      <c r="C12" s="79" t="str">
        <f>'PLAN DE EJECUCION'!$C22</f>
        <v>Visualización de Resultados y Documentos</v>
      </c>
      <c r="D12" s="80" t="str">
        <f>'PLAN DE EJECUCION'!$D22</f>
        <v>CASO 07</v>
      </c>
      <c r="E12" s="81" t="s">
        <v>103</v>
      </c>
      <c r="F12" s="82" t="str">
        <f>'PLAN DE EJECUCION'!$E22</f>
        <v>Descargar archivo de la resolución en formato PDF.</v>
      </c>
      <c r="G12" s="172" t="s">
        <v>171</v>
      </c>
      <c r="H12" s="89">
        <f t="shared" si="0"/>
        <v>0</v>
      </c>
      <c r="I12" s="90">
        <f t="array" ref="I12">SUMPRODUCT(COUNTIFS('CONSOLIDADO DE INCIDENCIAS'!$M$2:$M$6, 'AVANCE EJECUCIÓN '!$D12, 'CONSOLIDADO DE INCIDENCIAS'!$D$2:$D$6, 'CONSOLIDADO DE INCIDENCIAS'!$B$14:$B$15))</f>
        <v>0</v>
      </c>
      <c r="J12" s="90">
        <f t="array" ref="J12">SUMPRODUCT(COUNTIFS('CONSOLIDADO DE INCIDENCIAS'!$M$2:$M$6, 'AVANCE EJECUCIÓN '!$D12, 'CONSOLIDADO DE INCIDENCIAS'!$D$2:$D$6, 'CONSOLIDADO DE INCIDENCIAS'!$B$11:$B$13))</f>
        <v>0</v>
      </c>
      <c r="K12" s="90">
        <f t="array" ref="K12">SUMPRODUCT(COUNTIFS('CONSOLIDADO DE INCIDENCIAS'!$M$2:$M$6, 'AVANCE EJECUCIÓN '!$D12, 'CONSOLIDADO DE INCIDENCIAS'!$W$2:$W$6, 'CONSOLIDADO DE INCIDENCIAS'!$B$11:$B$13))</f>
        <v>0</v>
      </c>
      <c r="L12" s="90">
        <f>COUNTIFS('CONSOLIDADO DE INCIDENCIAS'!$M$2:$M$6,'AVANCE EJECUCIÓN '!$D12,'CONSOLIDADO DE INCIDENCIAS'!$D$2:$D$6,'CONSOLIDADO DE INCIDENCIAS'!$B$16)</f>
        <v>0</v>
      </c>
      <c r="M12" s="90">
        <f>COUNTIFS('CONSOLIDADO DE INCIDENCIAS'!$M$2:$M$6,'AVANCE EJECUCIÓN '!$D12,'CONSOLIDADO DE INCIDENCIAS'!$D$2:$D$6,'CONSOLIDADO DE INCIDENCIAS'!$B$17)</f>
        <v>0</v>
      </c>
      <c r="N12" s="82" t="s">
        <v>39</v>
      </c>
      <c r="O12" s="86" t="s">
        <v>46</v>
      </c>
    </row>
    <row r="13" spans="1:25" ht="42.75" x14ac:dyDescent="0.2">
      <c r="B13" s="176"/>
      <c r="C13" s="79" t="str">
        <f>'PLAN DE EJECUCION'!$C23</f>
        <v>Panel e Información General</v>
      </c>
      <c r="D13" s="80" t="str">
        <f>'PLAN DE EJECUCION'!$D23</f>
        <v>CASO 08</v>
      </c>
      <c r="E13" s="81" t="s">
        <v>104</v>
      </c>
      <c r="F13" s="82" t="str">
        <f>'PLAN DE EJECUCION'!$E23</f>
        <v>Consultar gráficos de resoluciones por infracción,  de resoluciones por sistema administrativo y  de resoluciones por año.</v>
      </c>
      <c r="G13" s="207" t="s">
        <v>188</v>
      </c>
      <c r="H13" s="89">
        <f t="shared" si="0"/>
        <v>0</v>
      </c>
      <c r="I13" s="90">
        <f t="array" ref="I13">SUMPRODUCT(COUNTIFS('CONSOLIDADO DE INCIDENCIAS'!$M$2:$M$6, 'AVANCE EJECUCIÓN '!$D13, 'CONSOLIDADO DE INCIDENCIAS'!$D$2:$D$6, 'CONSOLIDADO DE INCIDENCIAS'!$B$14:$B$15))</f>
        <v>0</v>
      </c>
      <c r="J13" s="90">
        <f t="array" ref="J13">SUMPRODUCT(COUNTIFS('CONSOLIDADO DE INCIDENCIAS'!$M$2:$M$6, 'AVANCE EJECUCIÓN '!$D13, 'CONSOLIDADO DE INCIDENCIAS'!$D$2:$D$6, 'CONSOLIDADO DE INCIDENCIAS'!$B$11:$B$13))</f>
        <v>0</v>
      </c>
      <c r="K13" s="90">
        <f t="array" ref="K13">SUMPRODUCT(COUNTIFS('CONSOLIDADO DE INCIDENCIAS'!$M$2:$M$6, 'AVANCE EJECUCIÓN '!$D13, 'CONSOLIDADO DE INCIDENCIAS'!$W$2:$W$6, 'CONSOLIDADO DE INCIDENCIAS'!$B$11:$B$13))</f>
        <v>0</v>
      </c>
      <c r="L13" s="90">
        <f>COUNTIFS('CONSOLIDADO DE INCIDENCIAS'!$M$2:$M$6,'AVANCE EJECUCIÓN '!$D13,'CONSOLIDADO DE INCIDENCIAS'!$D$2:$D$6,'CONSOLIDADO DE INCIDENCIAS'!$B$16)</f>
        <v>0</v>
      </c>
      <c r="M13" s="90">
        <f>COUNTIFS('CONSOLIDADO DE INCIDENCIAS'!$M$2:$M$6,'AVANCE EJECUCIÓN '!$D13,'CONSOLIDADO DE INCIDENCIAS'!$D$2:$D$6,'CONSOLIDADO DE INCIDENCIAS'!$B$17)</f>
        <v>0</v>
      </c>
      <c r="N13" s="82" t="s">
        <v>39</v>
      </c>
      <c r="O13" s="86" t="s">
        <v>46</v>
      </c>
    </row>
    <row r="14" spans="1:25" ht="28.5" x14ac:dyDescent="0.2">
      <c r="B14" s="176"/>
      <c r="C14" s="79" t="str">
        <f>'PLAN DE EJECUCION'!$C24</f>
        <v>Panel e Información General</v>
      </c>
      <c r="D14" s="80" t="str">
        <f>'PLAN DE EJECUCION'!$D24</f>
        <v>CASO 09</v>
      </c>
      <c r="E14" s="81" t="s">
        <v>105</v>
      </c>
      <c r="F14" s="82" t="str">
        <f>'PLAN DE EJECUCION'!$E24</f>
        <v>Consultar  información de orientación para el uso del buscador.</v>
      </c>
      <c r="G14" s="207" t="s">
        <v>187</v>
      </c>
      <c r="H14" s="83">
        <f t="shared" si="0"/>
        <v>0</v>
      </c>
      <c r="I14" s="84">
        <f t="array" ref="I14">SUMPRODUCT(COUNTIFS('CONSOLIDADO DE INCIDENCIAS'!$M$2:$M$6, 'AVANCE EJECUCIÓN '!$D14, 'CONSOLIDADO DE INCIDENCIAS'!$D$2:$D$6, 'CONSOLIDADO DE INCIDENCIAS'!$B$14:$B$15))</f>
        <v>0</v>
      </c>
      <c r="J14" s="84">
        <f t="array" ref="J14">SUMPRODUCT(COUNTIFS('CONSOLIDADO DE INCIDENCIAS'!$M$2:$M$6, 'AVANCE EJECUCIÓN '!$D14, 'CONSOLIDADO DE INCIDENCIAS'!$D$2:$D$6, 'CONSOLIDADO DE INCIDENCIAS'!$B$11:$B$13))</f>
        <v>0</v>
      </c>
      <c r="K14" s="84">
        <f t="array" ref="K14">SUMPRODUCT(COUNTIFS('CONSOLIDADO DE INCIDENCIAS'!$M$2:$M$6, 'AVANCE EJECUCIÓN '!$D14, 'CONSOLIDADO DE INCIDENCIAS'!$W$2:$W$6, 'CONSOLIDADO DE INCIDENCIAS'!$B$11:$B$13))</f>
        <v>0</v>
      </c>
      <c r="L14" s="84">
        <f>COUNTIFS('CONSOLIDADO DE INCIDENCIAS'!$M$2:$M$6,'AVANCE EJECUCIÓN '!$D14,'CONSOLIDADO DE INCIDENCIAS'!$D$2:$D$6,'CONSOLIDADO DE INCIDENCIAS'!$B$16)</f>
        <v>0</v>
      </c>
      <c r="M14" s="84">
        <f>COUNTIFS('CONSOLIDADO DE INCIDENCIAS'!$M$2:$M$6,'AVANCE EJECUCIÓN '!$D14,'CONSOLIDADO DE INCIDENCIAS'!$D$2:$D$6,'CONSOLIDADO DE INCIDENCIAS'!$B$17)</f>
        <v>0</v>
      </c>
      <c r="N14" s="85" t="s">
        <v>39</v>
      </c>
      <c r="O14" s="86" t="s">
        <v>46</v>
      </c>
    </row>
    <row r="15" spans="1:25" ht="15" x14ac:dyDescent="0.2">
      <c r="B15" s="176"/>
      <c r="C15" s="79" t="str">
        <f>'PLAN DE EJECUCION'!$C25</f>
        <v>Panel e Información General</v>
      </c>
      <c r="D15" s="80" t="str">
        <f>'PLAN DE EJECUCION'!$D25</f>
        <v>CASO 10</v>
      </c>
      <c r="E15" s="81" t="s">
        <v>106</v>
      </c>
      <c r="F15" s="82" t="str">
        <f>'PLAN DE EJECUCION'!$E25</f>
        <v>Consultar texto del aviso legal del buscador.</v>
      </c>
      <c r="G15" s="207" t="s">
        <v>189</v>
      </c>
      <c r="H15" s="89">
        <f t="shared" si="0"/>
        <v>0</v>
      </c>
      <c r="I15" s="90">
        <f t="array" ref="I15">SUMPRODUCT(COUNTIFS('CONSOLIDADO DE INCIDENCIAS'!$M$2:$M$6, 'AVANCE EJECUCIÓN '!$D15, 'CONSOLIDADO DE INCIDENCIAS'!$D$2:$D$6, 'CONSOLIDADO DE INCIDENCIAS'!$B$14:$B$15))</f>
        <v>0</v>
      </c>
      <c r="J15" s="90">
        <f t="array" ref="J15">SUMPRODUCT(COUNTIFS('CONSOLIDADO DE INCIDENCIAS'!$M$2:$M$6, 'AVANCE EJECUCIÓN '!$D15, 'CONSOLIDADO DE INCIDENCIAS'!$D$2:$D$6, 'CONSOLIDADO DE INCIDENCIAS'!$B$11:$B$13))</f>
        <v>0</v>
      </c>
      <c r="K15" s="90">
        <f t="array" ref="K15">SUMPRODUCT(COUNTIFS('CONSOLIDADO DE INCIDENCIAS'!$M$2:$M$6, 'AVANCE EJECUCIÓN '!$D15, 'CONSOLIDADO DE INCIDENCIAS'!$W$2:$W$6, 'CONSOLIDADO DE INCIDENCIAS'!$B$11:$B$13))</f>
        <v>0</v>
      </c>
      <c r="L15" s="90">
        <f>COUNTIFS('CONSOLIDADO DE INCIDENCIAS'!$M$2:$M$6,'AVANCE EJECUCIÓN '!$D15,'CONSOLIDADO DE INCIDENCIAS'!$D$2:$D$6,'CONSOLIDADO DE INCIDENCIAS'!$B$16)</f>
        <v>0</v>
      </c>
      <c r="M15" s="90">
        <f>COUNTIFS('CONSOLIDADO DE INCIDENCIAS'!$M$2:$M$6,'AVANCE EJECUCIÓN '!$D15,'CONSOLIDADO DE INCIDENCIAS'!$D$2:$D$6,'CONSOLIDADO DE INCIDENCIAS'!$B$17)</f>
        <v>0</v>
      </c>
      <c r="N15" s="82" t="s">
        <v>39</v>
      </c>
      <c r="O15" s="86" t="s">
        <v>46</v>
      </c>
    </row>
    <row r="16" spans="1:25" ht="15" x14ac:dyDescent="0.2">
      <c r="B16" s="176"/>
      <c r="C16" s="79" t="str">
        <f>'PLAN DE EJECUCION'!$C26</f>
        <v>Panel e Información General</v>
      </c>
      <c r="D16" s="80" t="str">
        <f>'PLAN DE EJECUCION'!$D26</f>
        <v>CASO 11</v>
      </c>
      <c r="E16" s="81" t="s">
        <v>107</v>
      </c>
      <c r="F16" s="82" t="str">
        <f>'PLAN DE EJECUCION'!$E26</f>
        <v>Consultar enlaces del buscador.</v>
      </c>
      <c r="G16" s="207" t="s">
        <v>190</v>
      </c>
      <c r="H16" s="89">
        <f t="shared" si="0"/>
        <v>0</v>
      </c>
      <c r="I16" s="90">
        <f t="array" ref="I16">SUMPRODUCT(COUNTIFS('CONSOLIDADO DE INCIDENCIAS'!$M$2:$M$6, 'AVANCE EJECUCIÓN '!$D16, 'CONSOLIDADO DE INCIDENCIAS'!$D$2:$D$6, 'CONSOLIDADO DE INCIDENCIAS'!$B$14:$B$15))</f>
        <v>0</v>
      </c>
      <c r="J16" s="90">
        <f t="array" ref="J16">SUMPRODUCT(COUNTIFS('CONSOLIDADO DE INCIDENCIAS'!$M$2:$M$6, 'AVANCE EJECUCIÓN '!$D16, 'CONSOLIDADO DE INCIDENCIAS'!$D$2:$D$6, 'CONSOLIDADO DE INCIDENCIAS'!$B$11:$B$13))</f>
        <v>0</v>
      </c>
      <c r="K16" s="90">
        <f t="array" ref="K16">SUMPRODUCT(COUNTIFS('CONSOLIDADO DE INCIDENCIAS'!$M$2:$M$6, 'AVANCE EJECUCIÓN '!$D16, 'CONSOLIDADO DE INCIDENCIAS'!$W$2:$W$6, 'CONSOLIDADO DE INCIDENCIAS'!$B$11:$B$13))</f>
        <v>0</v>
      </c>
      <c r="L16" s="90">
        <f>COUNTIFS('CONSOLIDADO DE INCIDENCIAS'!$M$2:$M$6,'AVANCE EJECUCIÓN '!$D16,'CONSOLIDADO DE INCIDENCIAS'!$D$2:$D$6,'CONSOLIDADO DE INCIDENCIAS'!$B$16)</f>
        <v>0</v>
      </c>
      <c r="M16" s="90">
        <f>COUNTIFS('CONSOLIDADO DE INCIDENCIAS'!$M$2:$M$6,'AVANCE EJECUCIÓN '!$D16,'CONSOLIDADO DE INCIDENCIAS'!$D$2:$D$6,'CONSOLIDADO DE INCIDENCIAS'!$B$17)</f>
        <v>0</v>
      </c>
      <c r="N16" s="82" t="s">
        <v>39</v>
      </c>
      <c r="O16" s="86" t="s">
        <v>46</v>
      </c>
    </row>
    <row r="17" spans="1:15" ht="28.5" x14ac:dyDescent="0.2">
      <c r="A17" s="93"/>
      <c r="B17" s="175" t="s">
        <v>152</v>
      </c>
      <c r="C17" s="94" t="s">
        <v>57</v>
      </c>
      <c r="D17" s="95" t="s">
        <v>58</v>
      </c>
      <c r="E17" s="81" t="s">
        <v>108</v>
      </c>
      <c r="F17" s="96" t="s">
        <v>141</v>
      </c>
      <c r="G17" s="96" t="s">
        <v>139</v>
      </c>
      <c r="H17" s="89">
        <f t="shared" si="0"/>
        <v>0</v>
      </c>
      <c r="I17" s="90">
        <f t="array" ref="I17">SUMPRODUCT(COUNTIFS('CONSOLIDADO DE INCIDENCIAS'!$M$2:$M$6, 'AVANCE EJECUCIÓN '!$D17, 'CONSOLIDADO DE INCIDENCIAS'!$D$2:$D$6, 'CONSOLIDADO DE INCIDENCIAS'!$B$14:$B$15))</f>
        <v>0</v>
      </c>
      <c r="J17" s="90">
        <f t="array" ref="J17">SUMPRODUCT(COUNTIFS('CONSOLIDADO DE INCIDENCIAS'!$M$2:$M$6, 'AVANCE EJECUCIÓN '!$D17, 'CONSOLIDADO DE INCIDENCIAS'!$D$2:$D$6, 'CONSOLIDADO DE INCIDENCIAS'!$B$11:$B$13))</f>
        <v>0</v>
      </c>
      <c r="K17" s="90">
        <f t="array" ref="K17">SUMPRODUCT(COUNTIFS('CONSOLIDADO DE INCIDENCIAS'!$M$2:$M$6, 'AVANCE EJECUCIÓN '!$D17, 'CONSOLIDADO DE INCIDENCIAS'!$W$2:$W$6, 'CONSOLIDADO DE INCIDENCIAS'!$B$11:$B$13))</f>
        <v>0</v>
      </c>
      <c r="L17" s="90">
        <f>COUNTIFS('CONSOLIDADO DE INCIDENCIAS'!$M$2:$M$6,'AVANCE EJECUCIÓN '!$D17,'CONSOLIDADO DE INCIDENCIAS'!$D$2:$D$6,'CONSOLIDADO DE INCIDENCIAS'!$B$16)</f>
        <v>0</v>
      </c>
      <c r="M17" s="90">
        <f>COUNTIFS('CONSOLIDADO DE INCIDENCIAS'!$M$2:$M$6,'AVANCE EJECUCIÓN '!$D17,'CONSOLIDADO DE INCIDENCIAS'!$D$2:$D$6,'CONSOLIDADO DE INCIDENCIAS'!$B$17)</f>
        <v>0</v>
      </c>
      <c r="N17" s="82" t="s">
        <v>39</v>
      </c>
      <c r="O17" s="86" t="s">
        <v>46</v>
      </c>
    </row>
    <row r="18" spans="1:15" ht="28.5" x14ac:dyDescent="0.2">
      <c r="A18" s="93"/>
      <c r="B18" s="176"/>
      <c r="C18" s="94" t="s">
        <v>57</v>
      </c>
      <c r="D18" s="95" t="s">
        <v>59</v>
      </c>
      <c r="E18" s="81" t="s">
        <v>109</v>
      </c>
      <c r="F18" s="96" t="s">
        <v>131</v>
      </c>
      <c r="G18" s="96" t="s">
        <v>137</v>
      </c>
      <c r="H18" s="89">
        <f t="shared" ref="H18" si="4">SUM(I18,J18,L18,M18)</f>
        <v>0</v>
      </c>
      <c r="I18" s="90">
        <f t="array" ref="I18">SUMPRODUCT(COUNTIFS('CONSOLIDADO DE INCIDENCIAS'!$M$2:$M$6, 'AVANCE EJECUCIÓN '!$D18, 'CONSOLIDADO DE INCIDENCIAS'!$D$2:$D$6, 'CONSOLIDADO DE INCIDENCIAS'!$B$14:$B$15))</f>
        <v>0</v>
      </c>
      <c r="J18" s="90">
        <f t="array" ref="J18">SUMPRODUCT(COUNTIFS('CONSOLIDADO DE INCIDENCIAS'!$M$2:$M$6, 'AVANCE EJECUCIÓN '!$D18, 'CONSOLIDADO DE INCIDENCIAS'!$D$2:$D$6, 'CONSOLIDADO DE INCIDENCIAS'!$B$11:$B$13))</f>
        <v>0</v>
      </c>
      <c r="K18" s="90">
        <f t="array" ref="K18">SUMPRODUCT(COUNTIFS('CONSOLIDADO DE INCIDENCIAS'!$M$2:$M$6, 'AVANCE EJECUCIÓN '!$D18, 'CONSOLIDADO DE INCIDENCIAS'!$W$2:$W$6, 'CONSOLIDADO DE INCIDENCIAS'!$B$11:$B$13))</f>
        <v>0</v>
      </c>
      <c r="L18" s="90">
        <f>COUNTIFS('CONSOLIDADO DE INCIDENCIAS'!$M$2:$M$6,'AVANCE EJECUCIÓN '!$D18,'CONSOLIDADO DE INCIDENCIAS'!$D$2:$D$6,'CONSOLIDADO DE INCIDENCIAS'!$B$16)</f>
        <v>0</v>
      </c>
      <c r="M18" s="90">
        <f>COUNTIFS('CONSOLIDADO DE INCIDENCIAS'!$M$2:$M$6,'AVANCE EJECUCIÓN '!$D18,'CONSOLIDADO DE INCIDENCIAS'!$D$2:$D$6,'CONSOLIDADO DE INCIDENCIAS'!$B$17)</f>
        <v>0</v>
      </c>
      <c r="N18" s="82" t="s">
        <v>39</v>
      </c>
      <c r="O18" s="86" t="s">
        <v>46</v>
      </c>
    </row>
    <row r="19" spans="1:15" ht="28.5" x14ac:dyDescent="0.2">
      <c r="A19" s="93"/>
      <c r="B19" s="176"/>
      <c r="C19" s="94" t="s">
        <v>57</v>
      </c>
      <c r="D19" s="95" t="s">
        <v>61</v>
      </c>
      <c r="E19" s="81" t="s">
        <v>110</v>
      </c>
      <c r="F19" s="96" t="s">
        <v>134</v>
      </c>
      <c r="G19" s="96" t="s">
        <v>137</v>
      </c>
      <c r="H19" s="89">
        <f t="shared" si="0"/>
        <v>0</v>
      </c>
      <c r="I19" s="90">
        <f t="array" ref="I19">SUMPRODUCT(COUNTIFS('CONSOLIDADO DE INCIDENCIAS'!$M$2:$M$6, 'AVANCE EJECUCIÓN '!$D19, 'CONSOLIDADO DE INCIDENCIAS'!$D$2:$D$6, 'CONSOLIDADO DE INCIDENCIAS'!$B$14:$B$15))</f>
        <v>0</v>
      </c>
      <c r="J19" s="90">
        <f t="array" ref="J19">SUMPRODUCT(COUNTIFS('CONSOLIDADO DE INCIDENCIAS'!$M$2:$M$6, 'AVANCE EJECUCIÓN '!$D19, 'CONSOLIDADO DE INCIDENCIAS'!$D$2:$D$6, 'CONSOLIDADO DE INCIDENCIAS'!$B$11:$B$13))</f>
        <v>0</v>
      </c>
      <c r="K19" s="90">
        <f t="array" ref="K19">SUMPRODUCT(COUNTIFS('CONSOLIDADO DE INCIDENCIAS'!$M$2:$M$6, 'AVANCE EJECUCIÓN '!$D19, 'CONSOLIDADO DE INCIDENCIAS'!$W$2:$W$6, 'CONSOLIDADO DE INCIDENCIAS'!$B$11:$B$13))</f>
        <v>0</v>
      </c>
      <c r="L19" s="90">
        <f>COUNTIFS('CONSOLIDADO DE INCIDENCIAS'!$M$2:$M$6,'AVANCE EJECUCIÓN '!$D19,'CONSOLIDADO DE INCIDENCIAS'!$D$2:$D$6,'CONSOLIDADO DE INCIDENCIAS'!$B$16)</f>
        <v>0</v>
      </c>
      <c r="M19" s="90">
        <f>COUNTIFS('CONSOLIDADO DE INCIDENCIAS'!$M$2:$M$6,'AVANCE EJECUCIÓN '!$D19,'CONSOLIDADO DE INCIDENCIAS'!$D$2:$D$6,'CONSOLIDADO DE INCIDENCIAS'!$B$17)</f>
        <v>0</v>
      </c>
      <c r="N19" s="82" t="s">
        <v>39</v>
      </c>
      <c r="O19" s="86" t="s">
        <v>46</v>
      </c>
    </row>
    <row r="20" spans="1:15" ht="71.25" x14ac:dyDescent="0.2">
      <c r="A20" s="93"/>
      <c r="B20" s="176"/>
      <c r="C20" s="94" t="s">
        <v>57</v>
      </c>
      <c r="D20" s="95" t="s">
        <v>63</v>
      </c>
      <c r="E20" s="81" t="s">
        <v>111</v>
      </c>
      <c r="F20" s="96" t="s">
        <v>135</v>
      </c>
      <c r="G20" s="96" t="s">
        <v>137</v>
      </c>
      <c r="H20" s="89">
        <f t="shared" si="0"/>
        <v>0</v>
      </c>
      <c r="I20" s="90">
        <f t="array" ref="I20">SUMPRODUCT(COUNTIFS('CONSOLIDADO DE INCIDENCIAS'!$M$2:$M$6, 'AVANCE EJECUCIÓN '!$D20, 'CONSOLIDADO DE INCIDENCIAS'!$D$2:$D$6, 'CONSOLIDADO DE INCIDENCIAS'!$B$14:$B$15))</f>
        <v>0</v>
      </c>
      <c r="J20" s="90">
        <f t="array" ref="J20">SUMPRODUCT(COUNTIFS('CONSOLIDADO DE INCIDENCIAS'!$M$2:$M$6, 'AVANCE EJECUCIÓN '!$D20, 'CONSOLIDADO DE INCIDENCIAS'!$D$2:$D$6, 'CONSOLIDADO DE INCIDENCIAS'!$B$11:$B$13))</f>
        <v>0</v>
      </c>
      <c r="K20" s="90">
        <f t="array" ref="K20">SUMPRODUCT(COUNTIFS('CONSOLIDADO DE INCIDENCIAS'!$M$2:$M$6, 'AVANCE EJECUCIÓN '!$D20, 'CONSOLIDADO DE INCIDENCIAS'!$W$2:$W$6, 'CONSOLIDADO DE INCIDENCIAS'!$B$11:$B$13))</f>
        <v>0</v>
      </c>
      <c r="L20" s="90">
        <f>COUNTIFS('CONSOLIDADO DE INCIDENCIAS'!$M$2:$M$6,'AVANCE EJECUCIÓN '!$D20,'CONSOLIDADO DE INCIDENCIAS'!$D$2:$D$6,'CONSOLIDADO DE INCIDENCIAS'!$B$16)</f>
        <v>0</v>
      </c>
      <c r="M20" s="90">
        <f>COUNTIFS('CONSOLIDADO DE INCIDENCIAS'!$M$2:$M$6,'AVANCE EJECUCIÓN '!$D20,'CONSOLIDADO DE INCIDENCIAS'!$D$2:$D$6,'CONSOLIDADO DE INCIDENCIAS'!$B$17)</f>
        <v>0</v>
      </c>
      <c r="N20" s="82" t="s">
        <v>39</v>
      </c>
      <c r="O20" s="86" t="s">
        <v>46</v>
      </c>
    </row>
    <row r="21" spans="1:15" ht="15" x14ac:dyDescent="0.2">
      <c r="A21" s="93"/>
      <c r="B21" s="176"/>
      <c r="C21" s="94" t="s">
        <v>60</v>
      </c>
      <c r="D21" s="95" t="s">
        <v>132</v>
      </c>
      <c r="E21" s="81" t="s">
        <v>112</v>
      </c>
      <c r="F21" s="96" t="s">
        <v>133</v>
      </c>
      <c r="G21" s="96" t="s">
        <v>138</v>
      </c>
      <c r="H21" s="89">
        <f t="shared" ref="H21" si="5">SUM(I21,J21,L21,M21)</f>
        <v>0</v>
      </c>
      <c r="I21" s="90">
        <f t="array" ref="I21">SUMPRODUCT(COUNTIFS('CONSOLIDADO DE INCIDENCIAS'!$M$2:$M$6, 'AVANCE EJECUCIÓN '!$D21, 'CONSOLIDADO DE INCIDENCIAS'!$D$2:$D$6, 'CONSOLIDADO DE INCIDENCIAS'!$B$14:$B$15))</f>
        <v>0</v>
      </c>
      <c r="J21" s="90">
        <f t="array" ref="J21">SUMPRODUCT(COUNTIFS('CONSOLIDADO DE INCIDENCIAS'!$M$2:$M$6, 'AVANCE EJECUCIÓN '!$D21, 'CONSOLIDADO DE INCIDENCIAS'!$D$2:$D$6, 'CONSOLIDADO DE INCIDENCIAS'!$B$11:$B$13))</f>
        <v>0</v>
      </c>
      <c r="K21" s="90">
        <f t="array" ref="K21">SUMPRODUCT(COUNTIFS('CONSOLIDADO DE INCIDENCIAS'!$M$2:$M$6, 'AVANCE EJECUCIÓN '!$D21, 'CONSOLIDADO DE INCIDENCIAS'!$W$2:$W$6, 'CONSOLIDADO DE INCIDENCIAS'!$B$11:$B$13))</f>
        <v>0</v>
      </c>
      <c r="L21" s="90">
        <f>COUNTIFS('CONSOLIDADO DE INCIDENCIAS'!$M$2:$M$6,'AVANCE EJECUCIÓN '!$D21,'CONSOLIDADO DE INCIDENCIAS'!$D$2:$D$6,'CONSOLIDADO DE INCIDENCIAS'!$B$16)</f>
        <v>0</v>
      </c>
      <c r="M21" s="90">
        <f>COUNTIFS('CONSOLIDADO DE INCIDENCIAS'!$M$2:$M$6,'AVANCE EJECUCIÓN '!$D21,'CONSOLIDADO DE INCIDENCIAS'!$D$2:$D$6,'CONSOLIDADO DE INCIDENCIAS'!$B$17)</f>
        <v>0</v>
      </c>
      <c r="N21" s="82" t="s">
        <v>39</v>
      </c>
      <c r="O21" s="86" t="s">
        <v>46</v>
      </c>
    </row>
    <row r="22" spans="1:15" ht="28.5" x14ac:dyDescent="0.2">
      <c r="A22" s="93"/>
      <c r="B22" s="177"/>
      <c r="C22" s="94" t="s">
        <v>62</v>
      </c>
      <c r="D22" s="95" t="s">
        <v>136</v>
      </c>
      <c r="E22" s="81" t="s">
        <v>113</v>
      </c>
      <c r="F22" s="96" t="s">
        <v>64</v>
      </c>
      <c r="G22" s="96" t="s">
        <v>116</v>
      </c>
      <c r="H22" s="89">
        <f t="shared" si="0"/>
        <v>0</v>
      </c>
      <c r="I22" s="90">
        <f t="array" ref="I22">SUMPRODUCT(COUNTIFS('CONSOLIDADO DE INCIDENCIAS'!$M$2:$M$6, 'AVANCE EJECUCIÓN '!$D22, 'CONSOLIDADO DE INCIDENCIAS'!$D$2:$D$6, 'CONSOLIDADO DE INCIDENCIAS'!$B$14:$B$15))</f>
        <v>0</v>
      </c>
      <c r="J22" s="90">
        <f t="array" ref="J22">SUMPRODUCT(COUNTIFS('CONSOLIDADO DE INCIDENCIAS'!$M$2:$M$6, 'AVANCE EJECUCIÓN '!$D22, 'CONSOLIDADO DE INCIDENCIAS'!$D$2:$D$6, 'CONSOLIDADO DE INCIDENCIAS'!$B$11:$B$13))</f>
        <v>0</v>
      </c>
      <c r="K22" s="90">
        <f t="array" ref="K22">SUMPRODUCT(COUNTIFS('CONSOLIDADO DE INCIDENCIAS'!$M$2:$M$6, 'AVANCE EJECUCIÓN '!$D22, 'CONSOLIDADO DE INCIDENCIAS'!$W$2:$W$6, 'CONSOLIDADO DE INCIDENCIAS'!$B$11:$B$13))</f>
        <v>0</v>
      </c>
      <c r="L22" s="90">
        <f>COUNTIFS('CONSOLIDADO DE INCIDENCIAS'!$M$2:$M$6,'AVANCE EJECUCIÓN '!$D22,'CONSOLIDADO DE INCIDENCIAS'!$D$2:$D$6,'CONSOLIDADO DE INCIDENCIAS'!$B$16)</f>
        <v>0</v>
      </c>
      <c r="M22" s="90">
        <f>COUNTIFS('CONSOLIDADO DE INCIDENCIAS'!$M$2:$M$6,'AVANCE EJECUCIÓN '!$D22,'CONSOLIDADO DE INCIDENCIAS'!$D$2:$D$6,'CONSOLIDADO DE INCIDENCIAS'!$B$17)</f>
        <v>0</v>
      </c>
      <c r="N22" s="82" t="s">
        <v>39</v>
      </c>
      <c r="O22" s="86" t="s">
        <v>46</v>
      </c>
    </row>
    <row r="23" spans="1:15" ht="28.5" x14ac:dyDescent="0.2">
      <c r="A23" s="93"/>
      <c r="B23" s="175" t="s">
        <v>153</v>
      </c>
      <c r="C23" s="97" t="s">
        <v>66</v>
      </c>
      <c r="D23" s="98" t="s">
        <v>67</v>
      </c>
      <c r="E23" s="81" t="s">
        <v>114</v>
      </c>
      <c r="F23" s="85" t="s">
        <v>68</v>
      </c>
      <c r="G23" s="85" t="s">
        <v>117</v>
      </c>
      <c r="H23" s="89">
        <f t="shared" si="0"/>
        <v>0</v>
      </c>
      <c r="I23" s="90">
        <f t="array" ref="I23">SUMPRODUCT(COUNTIFS('CONSOLIDADO DE INCIDENCIAS'!$M$2:$M$6, 'AVANCE EJECUCIÓN '!$D23, 'CONSOLIDADO DE INCIDENCIAS'!$D$2:$D$6, 'CONSOLIDADO DE INCIDENCIAS'!$B$14:$B$15))</f>
        <v>0</v>
      </c>
      <c r="J23" s="90">
        <f t="array" ref="J23">SUMPRODUCT(COUNTIFS('CONSOLIDADO DE INCIDENCIAS'!$M$2:$M$6, 'AVANCE EJECUCIÓN '!$D23, 'CONSOLIDADO DE INCIDENCIAS'!$D$2:$D$6, 'CONSOLIDADO DE INCIDENCIAS'!$B$11:$B$13))</f>
        <v>0</v>
      </c>
      <c r="K23" s="90">
        <f t="array" ref="K23">SUMPRODUCT(COUNTIFS('CONSOLIDADO DE INCIDENCIAS'!$M$2:$M$6, 'AVANCE EJECUCIÓN '!$D23, 'CONSOLIDADO DE INCIDENCIAS'!$W$2:$W$6, 'CONSOLIDADO DE INCIDENCIAS'!$B$11:$B$13))</f>
        <v>0</v>
      </c>
      <c r="L23" s="90">
        <f>COUNTIFS('CONSOLIDADO DE INCIDENCIAS'!$M$2:$M$6,'AVANCE EJECUCIÓN '!$D23,'CONSOLIDADO DE INCIDENCIAS'!$D$2:$D$6,'CONSOLIDADO DE INCIDENCIAS'!$B$16)</f>
        <v>0</v>
      </c>
      <c r="M23" s="90">
        <f>COUNTIFS('CONSOLIDADO DE INCIDENCIAS'!$M$2:$M$6,'AVANCE EJECUCIÓN '!$D23,'CONSOLIDADO DE INCIDENCIAS'!$D$2:$D$6,'CONSOLIDADO DE INCIDENCIAS'!$B$17)</f>
        <v>0</v>
      </c>
      <c r="N23" s="82" t="s">
        <v>39</v>
      </c>
      <c r="O23" s="86" t="s">
        <v>46</v>
      </c>
    </row>
    <row r="24" spans="1:15" ht="43.5" thickBot="1" x14ac:dyDescent="0.25">
      <c r="A24" s="93"/>
      <c r="B24" s="177"/>
      <c r="C24" s="97" t="s">
        <v>69</v>
      </c>
      <c r="D24" s="98" t="s">
        <v>70</v>
      </c>
      <c r="E24" s="81" t="s">
        <v>115</v>
      </c>
      <c r="F24" s="85" t="s">
        <v>71</v>
      </c>
      <c r="G24" s="85" t="s">
        <v>118</v>
      </c>
      <c r="H24" s="99">
        <f t="shared" si="0"/>
        <v>0</v>
      </c>
      <c r="I24" s="100">
        <f t="array" ref="I24">SUMPRODUCT(COUNTIFS('CONSOLIDADO DE INCIDENCIAS'!$M$2:$M$6, 'AVANCE EJECUCIÓN '!$D24, 'CONSOLIDADO DE INCIDENCIAS'!$D$2:$D$6, 'CONSOLIDADO DE INCIDENCIAS'!$B$14:$B$15))</f>
        <v>0</v>
      </c>
      <c r="J24" s="100">
        <f t="array" ref="J24">SUMPRODUCT(COUNTIFS('CONSOLIDADO DE INCIDENCIAS'!$M$2:$M$6, 'AVANCE EJECUCIÓN '!$D24, 'CONSOLIDADO DE INCIDENCIAS'!$D$2:$D$6, 'CONSOLIDADO DE INCIDENCIAS'!$B$11:$B$13))</f>
        <v>0</v>
      </c>
      <c r="K24" s="100">
        <f t="array" ref="K24">SUMPRODUCT(COUNTIFS('CONSOLIDADO DE INCIDENCIAS'!$M$2:$M$6, 'AVANCE EJECUCIÓN '!$D24, 'CONSOLIDADO DE INCIDENCIAS'!$W$2:$W$6, 'CONSOLIDADO DE INCIDENCIAS'!$B$11:$B$13))</f>
        <v>0</v>
      </c>
      <c r="L24" s="100">
        <f>COUNTIFS('CONSOLIDADO DE INCIDENCIAS'!$M$2:$M$6,'AVANCE EJECUCIÓN '!$D24,'CONSOLIDADO DE INCIDENCIAS'!$D$2:$D$6,'CONSOLIDADO DE INCIDENCIAS'!$B$16)</f>
        <v>0</v>
      </c>
      <c r="M24" s="100">
        <f>COUNTIFS('CONSOLIDADO DE INCIDENCIAS'!$M$2:$M$6,'AVANCE EJECUCIÓN '!$D24,'CONSOLIDADO DE INCIDENCIAS'!$D$2:$D$6,'CONSOLIDADO DE INCIDENCIAS'!$B$17)</f>
        <v>0</v>
      </c>
      <c r="N24" s="101" t="s">
        <v>39</v>
      </c>
      <c r="O24" s="86" t="s">
        <v>46</v>
      </c>
    </row>
    <row r="25" spans="1:15" ht="15.75" thickBot="1" x14ac:dyDescent="0.25">
      <c r="B25" s="102" t="s">
        <v>119</v>
      </c>
      <c r="C25" s="103"/>
      <c r="D25" s="104">
        <f>COUNTA(D6:D24)</f>
        <v>19</v>
      </c>
      <c r="E25" s="105"/>
      <c r="F25" s="106"/>
      <c r="G25" s="106"/>
      <c r="H25" s="107">
        <f t="shared" ref="H25:M25" si="6">SUM(H6:H22)</f>
        <v>5</v>
      </c>
      <c r="I25" s="74">
        <f t="shared" si="6"/>
        <v>0</v>
      </c>
      <c r="J25" s="75">
        <f t="shared" si="6"/>
        <v>5</v>
      </c>
      <c r="K25" s="76">
        <f t="shared" si="6"/>
        <v>5</v>
      </c>
      <c r="L25" s="77">
        <f t="shared" si="6"/>
        <v>0</v>
      </c>
      <c r="M25" s="78">
        <f t="shared" si="6"/>
        <v>0</v>
      </c>
      <c r="N25" s="91" t="s">
        <v>39</v>
      </c>
      <c r="O25" s="86" t="s">
        <v>46</v>
      </c>
    </row>
    <row r="26" spans="1:15" ht="15" x14ac:dyDescent="0.2">
      <c r="B26" s="108"/>
      <c r="C26" s="109"/>
      <c r="D26" s="105"/>
      <c r="E26" s="105"/>
      <c r="F26" s="106"/>
      <c r="G26" s="106"/>
      <c r="H26" s="64"/>
      <c r="I26" s="64"/>
      <c r="J26" s="65"/>
      <c r="K26" s="64"/>
      <c r="L26" s="64"/>
      <c r="M26" s="64"/>
      <c r="N26" s="66"/>
    </row>
    <row r="27" spans="1:15" ht="15" x14ac:dyDescent="0.2">
      <c r="B27" s="108"/>
      <c r="C27" s="109"/>
      <c r="D27" s="105"/>
      <c r="E27" s="105"/>
      <c r="F27" s="106"/>
      <c r="G27" s="106"/>
      <c r="H27" s="64"/>
      <c r="I27" s="64"/>
      <c r="J27" s="65"/>
      <c r="K27" s="64"/>
      <c r="L27" s="64"/>
      <c r="M27" s="64"/>
      <c r="N27" s="66"/>
    </row>
    <row r="28" spans="1:15" ht="15" x14ac:dyDescent="0.2">
      <c r="B28" s="108"/>
      <c r="C28" s="109"/>
      <c r="F28" s="186"/>
      <c r="G28" s="187"/>
      <c r="H28" s="187"/>
      <c r="I28" s="187"/>
      <c r="J28" s="187"/>
      <c r="K28" s="187"/>
      <c r="M28" s="64"/>
      <c r="N28" s="66"/>
    </row>
    <row r="29" spans="1:15" ht="15" x14ac:dyDescent="0.2">
      <c r="B29" s="108"/>
      <c r="C29" s="109"/>
      <c r="H29" s="64"/>
      <c r="I29" s="64"/>
      <c r="J29" s="65"/>
      <c r="K29" s="64"/>
      <c r="L29" s="64"/>
      <c r="M29" s="64"/>
      <c r="N29" s="66"/>
    </row>
    <row r="30" spans="1:15" x14ac:dyDescent="0.2">
      <c r="H30" s="64"/>
      <c r="I30" s="64"/>
      <c r="J30" s="65"/>
      <c r="K30" s="64"/>
      <c r="L30" s="64"/>
      <c r="M30" s="64"/>
      <c r="N30" s="66"/>
    </row>
    <row r="31" spans="1:15" ht="15" x14ac:dyDescent="0.25">
      <c r="B31" s="110" t="s">
        <v>72</v>
      </c>
      <c r="C31" s="111"/>
      <c r="H31" s="64"/>
      <c r="I31" s="64"/>
      <c r="J31" s="65"/>
      <c r="K31" s="64"/>
      <c r="L31" s="64"/>
      <c r="M31" s="64"/>
      <c r="N31" s="66"/>
    </row>
    <row r="32" spans="1:15" x14ac:dyDescent="0.2">
      <c r="B32" s="112" t="s">
        <v>44</v>
      </c>
      <c r="C32" s="195" t="s">
        <v>73</v>
      </c>
      <c r="D32" s="196"/>
      <c r="E32" s="196"/>
      <c r="F32" s="196"/>
      <c r="H32" s="64"/>
      <c r="I32" s="64"/>
      <c r="J32" s="65"/>
      <c r="K32" s="64"/>
      <c r="L32" s="64"/>
      <c r="M32" s="64"/>
      <c r="N32" s="66"/>
    </row>
    <row r="33" spans="2:14" x14ac:dyDescent="0.2">
      <c r="B33" s="113" t="s">
        <v>42</v>
      </c>
      <c r="C33" s="195" t="s">
        <v>74</v>
      </c>
      <c r="D33" s="196"/>
      <c r="E33" s="196"/>
      <c r="F33" s="196"/>
      <c r="H33" s="64"/>
      <c r="I33" s="64"/>
      <c r="J33" s="65"/>
      <c r="K33" s="64"/>
      <c r="L33" s="64"/>
      <c r="M33" s="64"/>
      <c r="N33" s="66"/>
    </row>
    <row r="34" spans="2:14" x14ac:dyDescent="0.2">
      <c r="B34" s="114" t="s">
        <v>43</v>
      </c>
      <c r="C34" s="195" t="s">
        <v>75</v>
      </c>
      <c r="D34" s="196"/>
      <c r="E34" s="196"/>
      <c r="F34" s="196"/>
      <c r="H34" s="64"/>
      <c r="I34" s="64"/>
      <c r="J34" s="65"/>
      <c r="K34" s="64"/>
      <c r="L34" s="64"/>
      <c r="M34" s="64"/>
      <c r="N34" s="66"/>
    </row>
    <row r="35" spans="2:14" x14ac:dyDescent="0.2">
      <c r="B35" s="115" t="s">
        <v>46</v>
      </c>
      <c r="C35" s="195" t="s">
        <v>76</v>
      </c>
      <c r="D35" s="196"/>
      <c r="E35" s="196"/>
      <c r="F35" s="196"/>
      <c r="H35" s="64"/>
      <c r="I35" s="64"/>
      <c r="J35" s="65"/>
      <c r="K35" s="64"/>
      <c r="L35" s="64"/>
      <c r="M35" s="64"/>
      <c r="N35" s="66"/>
    </row>
    <row r="36" spans="2:14" x14ac:dyDescent="0.2">
      <c r="B36" s="116" t="s">
        <v>48</v>
      </c>
      <c r="C36" s="195" t="s">
        <v>77</v>
      </c>
      <c r="D36" s="196"/>
      <c r="E36" s="196"/>
      <c r="F36" s="196"/>
      <c r="H36" s="64"/>
      <c r="I36" s="64"/>
      <c r="J36" s="65"/>
      <c r="K36" s="64"/>
      <c r="L36" s="64"/>
      <c r="M36" s="64"/>
      <c r="N36" s="66"/>
    </row>
    <row r="37" spans="2:14" x14ac:dyDescent="0.2">
      <c r="B37" s="117" t="s">
        <v>49</v>
      </c>
      <c r="C37" s="195" t="s">
        <v>78</v>
      </c>
      <c r="D37" s="196"/>
      <c r="E37" s="196"/>
      <c r="F37" s="196"/>
      <c r="H37" s="64"/>
      <c r="I37" s="64"/>
      <c r="J37" s="65"/>
      <c r="K37" s="64"/>
      <c r="L37" s="64"/>
      <c r="M37" s="64"/>
      <c r="N37" s="66"/>
    </row>
    <row r="38" spans="2:14" x14ac:dyDescent="0.2">
      <c r="C38" s="64"/>
      <c r="H38" s="64"/>
      <c r="I38" s="64"/>
      <c r="J38" s="65"/>
      <c r="K38" s="64"/>
      <c r="L38" s="64"/>
      <c r="M38" s="64"/>
      <c r="N38" s="66"/>
    </row>
  </sheetData>
  <sheetProtection algorithmName="SHA-512" hashValue="kL5l37mqHxugCq2/NAfZF3i/91E5D6Ek1YWXGmKse5JMAV2LQnIm0uK98oFM3JeM/uovkAmd2eC8RSTG7yta/g==" saltValue="D/a7uwiPLJOd25eCWPB+ng==" spinCount="100000" sheet="1" objects="1" scenarios="1" selectLockedCells="1" selectUnlockedCells="1"/>
  <mergeCells count="13">
    <mergeCell ref="C37:F37"/>
    <mergeCell ref="C32:F32"/>
    <mergeCell ref="C33:F33"/>
    <mergeCell ref="C34:F34"/>
    <mergeCell ref="C35:F35"/>
    <mergeCell ref="C36:F36"/>
    <mergeCell ref="B23:B24"/>
    <mergeCell ref="F28:K28"/>
    <mergeCell ref="B2:O2"/>
    <mergeCell ref="F4:O4"/>
    <mergeCell ref="Q4:Y4"/>
    <mergeCell ref="B6:B16"/>
    <mergeCell ref="B17:B22"/>
  </mergeCells>
  <phoneticPr fontId="19" type="noConversion"/>
  <conditionalFormatting sqref="O6:O25">
    <cfRule type="cellIs" dxfId="22" priority="51" operator="equal">
      <formula>$B$38</formula>
    </cfRule>
    <cfRule type="cellIs" dxfId="21" priority="52" operator="equal">
      <formula>$B$37</formula>
    </cfRule>
    <cfRule type="cellIs" dxfId="20" priority="53" operator="equal">
      <formula>$B$36</formula>
    </cfRule>
    <cfRule type="cellIs" dxfId="19" priority="54" operator="equal">
      <formula>$B$34</formula>
    </cfRule>
    <cfRule type="cellIs" dxfId="18" priority="55" operator="equal">
      <formula>$B$35</formula>
    </cfRule>
    <cfRule type="cellIs" dxfId="17" priority="56" operator="equal">
      <formula>$B$33</formula>
    </cfRule>
    <cfRule type="cellIs" dxfId="16" priority="57" operator="equal">
      <formula>$B$32</formula>
    </cfRule>
  </conditionalFormatting>
  <dataValidations disablePrompts="1" count="1">
    <dataValidation type="list" allowBlank="1" showErrorMessage="1" sqref="O6:O25" xr:uid="{00000000-0002-0000-0100-000000000000}">
      <formula1>$B$32:$B$37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A1:AL985"/>
  <sheetViews>
    <sheetView tabSelected="1" topLeftCell="S1" zoomScaleNormal="100" workbookViewId="0">
      <selection activeCell="V3" sqref="V3"/>
    </sheetView>
  </sheetViews>
  <sheetFormatPr baseColWidth="10" defaultColWidth="12.625" defaultRowHeight="14.25" x14ac:dyDescent="0.2"/>
  <cols>
    <col min="1" max="1" width="6.875" customWidth="1"/>
    <col min="2" max="2" width="16.5" customWidth="1"/>
    <col min="3" max="3" width="13.625" customWidth="1"/>
    <col min="4" max="4" width="15.625" customWidth="1"/>
    <col min="5" max="5" width="17.25" customWidth="1"/>
    <col min="6" max="6" width="17.5" customWidth="1"/>
    <col min="7" max="7" width="15.875" customWidth="1"/>
    <col min="8" max="8" width="17.75" customWidth="1"/>
    <col min="9" max="9" width="25.625" customWidth="1"/>
    <col min="10" max="10" width="12.5" customWidth="1"/>
    <col min="11" max="11" width="25.625" customWidth="1"/>
    <col min="12" max="12" width="25" hidden="1" customWidth="1"/>
    <col min="13" max="13" width="18.875" customWidth="1"/>
    <col min="14" max="14" width="77.25" hidden="1" customWidth="1"/>
    <col min="15" max="15" width="89.375" bestFit="1" customWidth="1"/>
    <col min="16" max="16" width="59.25" bestFit="1" customWidth="1"/>
    <col min="17" max="17" width="91.75" bestFit="1" customWidth="1"/>
    <col min="18" max="18" width="81.5" hidden="1" customWidth="1"/>
    <col min="19" max="19" width="21" bestFit="1" customWidth="1"/>
    <col min="20" max="20" width="28.625" hidden="1" customWidth="1"/>
    <col min="21" max="21" width="18.75" bestFit="1" customWidth="1"/>
    <col min="22" max="22" width="50.5" customWidth="1"/>
    <col min="23" max="23" width="15.625" bestFit="1" customWidth="1"/>
    <col min="24" max="24" width="29.625" bestFit="1" customWidth="1"/>
    <col min="25" max="25" width="31.5" bestFit="1" customWidth="1"/>
    <col min="26" max="26" width="26.875" bestFit="1" customWidth="1"/>
  </cols>
  <sheetData>
    <row r="1" spans="1:38" s="153" customFormat="1" ht="36" customHeight="1" x14ac:dyDescent="0.2">
      <c r="A1" s="20" t="s">
        <v>12</v>
      </c>
      <c r="B1" s="20" t="s">
        <v>13</v>
      </c>
      <c r="C1" s="20" t="s">
        <v>121</v>
      </c>
      <c r="D1" s="20" t="s">
        <v>15</v>
      </c>
      <c r="E1" s="151" t="s">
        <v>123</v>
      </c>
      <c r="F1" s="154" t="s">
        <v>154</v>
      </c>
      <c r="G1" s="20" t="s">
        <v>19</v>
      </c>
      <c r="H1" s="20" t="s">
        <v>127</v>
      </c>
      <c r="I1" s="20" t="s">
        <v>124</v>
      </c>
      <c r="J1" s="36" t="s">
        <v>126</v>
      </c>
      <c r="K1" s="20" t="s">
        <v>122</v>
      </c>
      <c r="L1" s="37" t="s">
        <v>125</v>
      </c>
      <c r="M1" s="37" t="s">
        <v>17</v>
      </c>
      <c r="N1" s="20" t="s">
        <v>144</v>
      </c>
      <c r="O1" s="20" t="s">
        <v>128</v>
      </c>
      <c r="P1" s="21" t="s">
        <v>18</v>
      </c>
      <c r="Q1" s="38" t="s">
        <v>130</v>
      </c>
      <c r="R1" s="38" t="s">
        <v>129</v>
      </c>
      <c r="S1" s="20" t="s">
        <v>24</v>
      </c>
      <c r="T1" s="21" t="s">
        <v>26</v>
      </c>
      <c r="U1" s="20" t="s">
        <v>28</v>
      </c>
      <c r="V1" s="166" t="s">
        <v>30</v>
      </c>
      <c r="W1" s="166" t="s">
        <v>15</v>
      </c>
      <c r="X1" s="20" t="s">
        <v>33</v>
      </c>
      <c r="Y1" s="167" t="s">
        <v>35</v>
      </c>
      <c r="Z1" s="168" t="s">
        <v>36</v>
      </c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</row>
    <row r="2" spans="1:38" s="52" customFormat="1" ht="28.5" x14ac:dyDescent="0.2">
      <c r="A2" s="39">
        <v>1</v>
      </c>
      <c r="B2" s="40" t="s">
        <v>155</v>
      </c>
      <c r="C2" s="39">
        <v>1</v>
      </c>
      <c r="D2" s="41" t="s">
        <v>42</v>
      </c>
      <c r="E2" s="208">
        <v>46284</v>
      </c>
      <c r="F2" s="137" t="s">
        <v>145</v>
      </c>
      <c r="G2" s="156" t="s">
        <v>29</v>
      </c>
      <c r="H2" s="136" t="s">
        <v>142</v>
      </c>
      <c r="I2" s="43" t="s">
        <v>192</v>
      </c>
      <c r="J2" s="43" t="s">
        <v>193</v>
      </c>
      <c r="K2" s="43" t="s">
        <v>194</v>
      </c>
      <c r="L2" s="44" t="s">
        <v>198</v>
      </c>
      <c r="M2" s="170" t="s">
        <v>163</v>
      </c>
      <c r="N2" s="45" t="s">
        <v>200</v>
      </c>
      <c r="O2" s="45" t="str">
        <f>CONCATENATE(N2,", al ",L2,".")</f>
        <v>Sistema no muestra ordenenado el listado de subcategorías, al buscar avanzadamente.</v>
      </c>
      <c r="P2" s="54" t="s">
        <v>143</v>
      </c>
      <c r="Q2" s="46" t="str">
        <f>"C:\\Users\\erick\\Desktop\\ERIKA\\QA\\work contraloria\\erika QA\\TSRA\\Imágenes\\" &amp; $B2 &amp; ".png"</f>
        <v>C:\\Users\\erick\\Desktop\\ERIKA\\QA\\work contraloria\\erika QA\\TSRA\\Imágenes\\INC-001-EACS.png</v>
      </c>
      <c r="R2" s="46"/>
      <c r="S2" s="47" t="s">
        <v>39</v>
      </c>
      <c r="T2" s="48"/>
      <c r="U2" s="49" t="s">
        <v>96</v>
      </c>
      <c r="V2" s="160"/>
      <c r="W2" s="209" t="s">
        <v>42</v>
      </c>
      <c r="X2" s="50" t="s">
        <v>202</v>
      </c>
      <c r="Y2" s="161"/>
      <c r="Z2" s="162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s="52" customFormat="1" ht="28.5" x14ac:dyDescent="0.2">
      <c r="A3" s="39">
        <v>2</v>
      </c>
      <c r="B3" s="40" t="s">
        <v>156</v>
      </c>
      <c r="C3" s="39">
        <v>1</v>
      </c>
      <c r="D3" s="41" t="s">
        <v>42</v>
      </c>
      <c r="E3" s="208">
        <v>46284</v>
      </c>
      <c r="F3" s="137" t="s">
        <v>145</v>
      </c>
      <c r="G3" s="156" t="s">
        <v>29</v>
      </c>
      <c r="H3" s="42" t="s">
        <v>191</v>
      </c>
      <c r="I3" s="43" t="s">
        <v>192</v>
      </c>
      <c r="J3" s="43" t="s">
        <v>193</v>
      </c>
      <c r="K3" s="43" t="s">
        <v>194</v>
      </c>
      <c r="L3" s="44" t="s">
        <v>198</v>
      </c>
      <c r="M3" s="170" t="s">
        <v>163</v>
      </c>
      <c r="N3" s="45" t="s">
        <v>199</v>
      </c>
      <c r="O3" s="45" t="str">
        <f t="shared" ref="O3:O6" si="0">CONCATENATE(N3,", al ",L3,".")</f>
        <v>Sistema no muestra ordenenado el listado de temas, al buscar avanzadamente.</v>
      </c>
      <c r="P3" s="54" t="s">
        <v>143</v>
      </c>
      <c r="Q3" s="46" t="str">
        <f t="shared" ref="Q3:Q6" si="1">"C:\\Users\\erick\\Desktop\\ERIKA\\QA\\work contraloria\\erika QA\\TSRA\\Imágenes\\" &amp; $B3 &amp; ".png"</f>
        <v>C:\\Users\\erick\\Desktop\\ERIKA\\QA\\work contraloria\\erika QA\\TSRA\\Imágenes\\INC-002-EACS.png</v>
      </c>
      <c r="R3" s="46"/>
      <c r="S3" s="47" t="s">
        <v>39</v>
      </c>
      <c r="T3" s="53"/>
      <c r="U3" s="49" t="s">
        <v>96</v>
      </c>
      <c r="V3" s="160"/>
      <c r="W3" s="165" t="s">
        <v>42</v>
      </c>
      <c r="X3" s="50" t="s">
        <v>202</v>
      </c>
      <c r="Y3" s="163"/>
      <c r="Z3" s="162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</row>
    <row r="4" spans="1:38" s="52" customFormat="1" ht="28.5" x14ac:dyDescent="0.2">
      <c r="A4" s="39">
        <v>3</v>
      </c>
      <c r="B4" s="40" t="s">
        <v>157</v>
      </c>
      <c r="C4" s="39">
        <v>1</v>
      </c>
      <c r="D4" s="41" t="s">
        <v>42</v>
      </c>
      <c r="E4" s="208">
        <v>46284</v>
      </c>
      <c r="F4" s="137" t="s">
        <v>145</v>
      </c>
      <c r="G4" s="156" t="s">
        <v>29</v>
      </c>
      <c r="H4" s="136" t="s">
        <v>142</v>
      </c>
      <c r="I4" s="43" t="s">
        <v>192</v>
      </c>
      <c r="J4" s="43" t="s">
        <v>193</v>
      </c>
      <c r="K4" s="43" t="s">
        <v>194</v>
      </c>
      <c r="L4" s="44" t="s">
        <v>198</v>
      </c>
      <c r="M4" s="170" t="s">
        <v>163</v>
      </c>
      <c r="N4" s="45" t="s">
        <v>201</v>
      </c>
      <c r="O4" s="45" t="str">
        <f t="shared" si="0"/>
        <v>Sistema limpia filtros externos diferente a categoría, subcategoría y tema, al buscar avanzadamente.</v>
      </c>
      <c r="P4" s="54" t="s">
        <v>143</v>
      </c>
      <c r="Q4" s="46" t="str">
        <f t="shared" si="1"/>
        <v>C:\\Users\\erick\\Desktop\\ERIKA\\QA\\work contraloria\\erika QA\\TSRA\\Imágenes\\INC-003-EACS.png</v>
      </c>
      <c r="R4" s="46"/>
      <c r="S4" s="47" t="s">
        <v>39</v>
      </c>
      <c r="T4" s="53"/>
      <c r="U4" s="49" t="s">
        <v>96</v>
      </c>
      <c r="V4" s="160"/>
      <c r="W4" s="165" t="s">
        <v>42</v>
      </c>
      <c r="X4" s="50" t="s">
        <v>202</v>
      </c>
      <c r="Y4" s="163"/>
      <c r="Z4" s="162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</row>
    <row r="5" spans="1:38" s="52" customFormat="1" ht="28.5" x14ac:dyDescent="0.2">
      <c r="A5" s="39">
        <v>4</v>
      </c>
      <c r="B5" s="40" t="s">
        <v>158</v>
      </c>
      <c r="C5" s="39">
        <v>1</v>
      </c>
      <c r="D5" s="41" t="s">
        <v>42</v>
      </c>
      <c r="E5" s="208">
        <v>46284</v>
      </c>
      <c r="F5" s="137" t="s">
        <v>145</v>
      </c>
      <c r="G5" s="156" t="s">
        <v>29</v>
      </c>
      <c r="H5" s="42" t="s">
        <v>191</v>
      </c>
      <c r="I5" s="43" t="s">
        <v>192</v>
      </c>
      <c r="J5" s="43" t="s">
        <v>193</v>
      </c>
      <c r="K5" s="43" t="s">
        <v>194</v>
      </c>
      <c r="L5" s="44" t="s">
        <v>195</v>
      </c>
      <c r="M5" s="170" t="s">
        <v>47</v>
      </c>
      <c r="N5" s="45" t="s">
        <v>196</v>
      </c>
      <c r="O5" s="45" t="str">
        <f t="shared" si="0"/>
        <v>Sistema muestra diseño sobrepuesto en la selección de columnas de la grilla de resultados, al buscar.</v>
      </c>
      <c r="P5" s="54" t="s">
        <v>143</v>
      </c>
      <c r="Q5" s="46" t="str">
        <f t="shared" si="1"/>
        <v>C:\\Users\\erick\\Desktop\\ERIKA\\QA\\work contraloria\\erika QA\\TSRA\\Imágenes\\INC-004-EACS.png</v>
      </c>
      <c r="R5" s="46"/>
      <c r="S5" s="47" t="s">
        <v>39</v>
      </c>
      <c r="T5" s="53"/>
      <c r="U5" s="49" t="s">
        <v>96</v>
      </c>
      <c r="V5" s="160"/>
      <c r="W5" s="165" t="s">
        <v>42</v>
      </c>
      <c r="X5" s="50" t="s">
        <v>202</v>
      </c>
      <c r="Y5" s="163"/>
      <c r="Z5" s="162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</row>
    <row r="6" spans="1:38" s="52" customFormat="1" ht="28.5" x14ac:dyDescent="0.2">
      <c r="A6" s="39">
        <v>5</v>
      </c>
      <c r="B6" s="40" t="s">
        <v>159</v>
      </c>
      <c r="C6" s="39">
        <v>1</v>
      </c>
      <c r="D6" s="41" t="s">
        <v>42</v>
      </c>
      <c r="E6" s="208">
        <v>46284</v>
      </c>
      <c r="F6" s="137" t="s">
        <v>145</v>
      </c>
      <c r="G6" s="156" t="s">
        <v>29</v>
      </c>
      <c r="H6" s="136" t="s">
        <v>142</v>
      </c>
      <c r="I6" s="43" t="s">
        <v>192</v>
      </c>
      <c r="J6" s="43" t="s">
        <v>193</v>
      </c>
      <c r="K6" s="43" t="s">
        <v>194</v>
      </c>
      <c r="L6" s="44" t="s">
        <v>195</v>
      </c>
      <c r="M6" s="170" t="s">
        <v>47</v>
      </c>
      <c r="N6" s="45" t="s">
        <v>197</v>
      </c>
      <c r="O6" s="45" t="str">
        <f t="shared" si="0"/>
        <v>Sistema muestra diseño sobrepuesto en la paginación de la grilla de resultados, al buscar.</v>
      </c>
      <c r="P6" s="54" t="s">
        <v>143</v>
      </c>
      <c r="Q6" s="46" t="str">
        <f t="shared" si="1"/>
        <v>C:\\Users\\erick\\Desktop\\ERIKA\\QA\\work contraloria\\erika QA\\TSRA\\Imágenes\\INC-005-EACS.png</v>
      </c>
      <c r="R6" s="46"/>
      <c r="S6" s="47" t="s">
        <v>39</v>
      </c>
      <c r="T6" s="48"/>
      <c r="U6" s="49" t="s">
        <v>96</v>
      </c>
      <c r="V6" s="160"/>
      <c r="W6" s="165" t="s">
        <v>42</v>
      </c>
      <c r="X6" s="50" t="s">
        <v>202</v>
      </c>
      <c r="Y6" s="164"/>
      <c r="Z6" s="162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</row>
    <row r="7" spans="1:38" x14ac:dyDescent="0.2">
      <c r="A7" s="13"/>
      <c r="B7" s="18"/>
      <c r="C7" s="4"/>
      <c r="D7" s="2"/>
      <c r="E7" s="4"/>
      <c r="F7" s="4"/>
      <c r="G7" s="4"/>
      <c r="H7" s="4"/>
      <c r="I7" s="4"/>
      <c r="J7" s="4"/>
      <c r="K7" s="4"/>
      <c r="L7" s="4"/>
      <c r="M7" s="19"/>
      <c r="N7" s="16"/>
      <c r="O7" s="16"/>
      <c r="P7" s="13"/>
      <c r="Q7" s="13"/>
      <c r="R7" s="13"/>
      <c r="S7" s="8"/>
      <c r="T7" s="8"/>
      <c r="U7" s="8"/>
      <c r="V7" s="16"/>
      <c r="W7" s="4"/>
      <c r="X7" s="13"/>
      <c r="Y7" s="13"/>
      <c r="Z7" s="13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">
      <c r="A8" s="13"/>
      <c r="B8" s="18"/>
      <c r="C8" s="4"/>
      <c r="D8" s="18"/>
      <c r="E8" s="8"/>
      <c r="F8" s="18"/>
      <c r="G8" s="4"/>
      <c r="H8" s="4"/>
      <c r="I8" s="4"/>
      <c r="J8" s="4"/>
      <c r="K8" s="4"/>
      <c r="L8" s="4"/>
      <c r="M8" s="19"/>
      <c r="N8" s="16"/>
      <c r="O8" s="16"/>
      <c r="P8" s="13"/>
      <c r="Q8" s="13"/>
      <c r="R8" s="13"/>
      <c r="S8" s="8"/>
      <c r="T8" s="8"/>
      <c r="U8" s="8"/>
      <c r="V8" s="16"/>
      <c r="W8" s="4"/>
      <c r="X8" s="13"/>
      <c r="Y8" s="13"/>
      <c r="Z8" s="13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">
      <c r="A9" s="13"/>
      <c r="B9" s="18"/>
      <c r="C9" s="4"/>
      <c r="D9" s="18"/>
      <c r="E9" s="8"/>
      <c r="F9" s="4"/>
      <c r="G9" s="4"/>
      <c r="H9" s="4"/>
      <c r="I9" s="4"/>
      <c r="J9" s="4"/>
      <c r="K9" s="4"/>
      <c r="L9" s="4"/>
      <c r="M9" s="19"/>
      <c r="N9" s="16"/>
      <c r="O9" s="16"/>
      <c r="P9" s="13"/>
      <c r="Q9" s="13"/>
      <c r="R9" s="13"/>
      <c r="S9" s="8"/>
      <c r="T9" s="8"/>
      <c r="U9" s="8"/>
      <c r="V9" s="16"/>
      <c r="W9" s="4"/>
      <c r="X9" s="13"/>
      <c r="Y9" s="13"/>
      <c r="Z9" s="13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15" x14ac:dyDescent="0.25">
      <c r="A10" s="13"/>
      <c r="B10" s="26" t="s">
        <v>72</v>
      </c>
      <c r="C10" s="27"/>
      <c r="D10" s="26"/>
      <c r="E10" s="2"/>
      <c r="F10" s="2"/>
      <c r="G10" s="4"/>
      <c r="H10" s="4"/>
      <c r="I10" s="4"/>
      <c r="J10" s="4"/>
      <c r="K10" s="4"/>
      <c r="L10" s="4"/>
      <c r="M10" s="19"/>
      <c r="N10" s="16"/>
      <c r="O10" s="16"/>
      <c r="P10" s="13"/>
      <c r="Q10" s="13"/>
      <c r="R10" s="13"/>
      <c r="S10" s="8"/>
      <c r="T10" s="8"/>
      <c r="U10" s="8"/>
      <c r="V10" s="16"/>
      <c r="W10" s="4"/>
      <c r="X10" s="13"/>
      <c r="Y10" s="13"/>
      <c r="Z10" s="1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">
      <c r="A11" s="13"/>
      <c r="B11" s="28" t="s">
        <v>44</v>
      </c>
      <c r="C11" s="197" t="s">
        <v>79</v>
      </c>
      <c r="D11" s="198"/>
      <c r="E11" s="198"/>
      <c r="F11" s="198"/>
      <c r="G11" s="19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6"/>
      <c r="W11" s="4"/>
      <c r="X11" s="13"/>
      <c r="Y11" s="13"/>
      <c r="Z11" s="1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">
      <c r="A12" s="13"/>
      <c r="B12" s="29" t="s">
        <v>42</v>
      </c>
      <c r="C12" s="197" t="s">
        <v>80</v>
      </c>
      <c r="D12" s="198"/>
      <c r="E12" s="198"/>
      <c r="F12" s="198"/>
      <c r="G12" s="198"/>
      <c r="H12" s="4"/>
      <c r="I12" s="4"/>
      <c r="J12" s="4"/>
      <c r="K12" s="4"/>
      <c r="L12" s="4"/>
      <c r="M12" s="19"/>
      <c r="N12" s="16"/>
      <c r="O12" s="16"/>
      <c r="P12" s="13"/>
      <c r="Q12" s="13"/>
      <c r="R12" s="13"/>
      <c r="S12" s="8"/>
      <c r="T12" s="8"/>
      <c r="U12" s="8"/>
      <c r="V12" s="16"/>
      <c r="W12" s="4"/>
      <c r="X12" s="13"/>
      <c r="Y12" s="13"/>
      <c r="Z12" s="13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">
      <c r="A13" s="13"/>
      <c r="B13" s="30" t="s">
        <v>43</v>
      </c>
      <c r="C13" s="197" t="s">
        <v>81</v>
      </c>
      <c r="D13" s="198"/>
      <c r="E13" s="198"/>
      <c r="F13" s="198"/>
      <c r="G13" s="198"/>
      <c r="H13" s="4"/>
      <c r="I13" s="4"/>
      <c r="J13" s="4"/>
      <c r="K13" s="4"/>
      <c r="L13" s="4"/>
      <c r="M13" s="19"/>
      <c r="N13" s="16"/>
      <c r="O13" s="16"/>
      <c r="P13" s="13"/>
      <c r="Q13" s="13"/>
      <c r="R13" s="13"/>
      <c r="S13" s="8"/>
      <c r="T13" s="8"/>
      <c r="U13" s="8"/>
      <c r="V13" s="16"/>
      <c r="W13" s="4"/>
      <c r="X13" s="13"/>
      <c r="Y13" s="13"/>
      <c r="Z13" s="13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">
      <c r="A14" s="13"/>
      <c r="B14" s="31" t="s">
        <v>46</v>
      </c>
      <c r="C14" s="197" t="s">
        <v>82</v>
      </c>
      <c r="D14" s="198"/>
      <c r="E14" s="198"/>
      <c r="F14" s="198"/>
      <c r="G14" s="198"/>
      <c r="H14" s="4"/>
      <c r="I14" s="4"/>
      <c r="J14" s="4"/>
      <c r="K14" s="4"/>
      <c r="L14" s="4"/>
      <c r="M14" s="19"/>
      <c r="N14" s="16"/>
      <c r="O14" s="16"/>
      <c r="P14" s="13"/>
      <c r="Q14" s="13"/>
      <c r="R14" s="13"/>
      <c r="S14" s="8"/>
      <c r="T14" s="8"/>
      <c r="U14" s="8"/>
      <c r="V14" s="16"/>
      <c r="W14" s="4"/>
      <c r="X14" s="13"/>
      <c r="Y14" s="13"/>
      <c r="Z14" s="13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">
      <c r="A15" s="13"/>
      <c r="B15" s="32" t="s">
        <v>48</v>
      </c>
      <c r="C15" s="197" t="s">
        <v>83</v>
      </c>
      <c r="D15" s="198"/>
      <c r="E15" s="198"/>
      <c r="F15" s="198"/>
      <c r="G15" s="198"/>
      <c r="H15" s="4"/>
      <c r="I15" s="4"/>
      <c r="J15" s="4"/>
      <c r="K15" s="4"/>
      <c r="L15" s="4"/>
      <c r="M15" s="19"/>
      <c r="N15" s="16"/>
      <c r="O15" s="16"/>
      <c r="P15" s="13"/>
      <c r="Q15" s="13"/>
      <c r="R15" s="13"/>
      <c r="S15" s="8"/>
      <c r="T15" s="8"/>
      <c r="U15" s="8"/>
      <c r="V15" s="16"/>
      <c r="W15" s="4"/>
      <c r="X15" s="13"/>
      <c r="Y15" s="13"/>
      <c r="Z15" s="13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">
      <c r="A16" s="13"/>
      <c r="B16" s="35" t="s">
        <v>84</v>
      </c>
      <c r="C16" s="197" t="s">
        <v>85</v>
      </c>
      <c r="D16" s="198"/>
      <c r="E16" s="198"/>
      <c r="F16" s="198"/>
      <c r="G16" s="198"/>
      <c r="H16" s="4"/>
      <c r="I16" s="4"/>
      <c r="J16" s="4"/>
      <c r="K16" s="4"/>
      <c r="L16" s="4"/>
      <c r="M16" s="19"/>
      <c r="N16" s="16"/>
      <c r="O16" s="16"/>
      <c r="P16" s="13"/>
      <c r="Q16" s="13"/>
      <c r="R16" s="13"/>
      <c r="S16" s="8"/>
      <c r="T16" s="8"/>
      <c r="U16" s="8"/>
      <c r="V16" s="16"/>
      <c r="W16" s="4"/>
      <c r="X16" s="13"/>
      <c r="Y16" s="13"/>
      <c r="Z16" s="13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">
      <c r="A17" s="13"/>
      <c r="B17" s="33" t="s">
        <v>86</v>
      </c>
      <c r="C17" s="197" t="s">
        <v>87</v>
      </c>
      <c r="D17" s="198"/>
      <c r="E17" s="198"/>
      <c r="F17" s="198"/>
      <c r="G17" s="198"/>
      <c r="H17" s="4"/>
      <c r="I17" s="4"/>
      <c r="J17" s="4"/>
      <c r="K17" s="4"/>
      <c r="L17" s="4"/>
      <c r="M17" s="19"/>
      <c r="N17" s="16"/>
      <c r="O17" s="16"/>
      <c r="P17" s="13"/>
      <c r="Q17" s="13"/>
      <c r="R17" s="13"/>
      <c r="S17" s="8"/>
      <c r="T17" s="8"/>
      <c r="U17" s="8"/>
      <c r="V17" s="16"/>
      <c r="W17" s="4"/>
      <c r="X17" s="13"/>
      <c r="Y17" s="13"/>
      <c r="Z17" s="13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">
      <c r="A18" s="13"/>
      <c r="B18" s="18"/>
      <c r="C18" s="2"/>
      <c r="D18" s="155"/>
      <c r="E18" s="155"/>
      <c r="F18" s="2"/>
      <c r="G18" s="2"/>
      <c r="H18" s="4"/>
      <c r="I18" s="4"/>
      <c r="J18" s="4"/>
      <c r="K18" s="4"/>
      <c r="L18" s="4"/>
      <c r="M18" s="19"/>
      <c r="N18" s="16"/>
      <c r="O18" s="16"/>
      <c r="P18" s="13"/>
      <c r="Q18" s="13"/>
      <c r="R18" s="13"/>
      <c r="S18" s="8"/>
      <c r="T18" s="8"/>
      <c r="U18" s="8"/>
      <c r="V18" s="16"/>
      <c r="W18" s="4"/>
      <c r="X18" s="13"/>
      <c r="Y18" s="13"/>
      <c r="Z18" s="13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28.5" x14ac:dyDescent="0.2">
      <c r="A19" s="13"/>
      <c r="B19" s="157" t="s">
        <v>29</v>
      </c>
      <c r="C19" s="199" t="s">
        <v>88</v>
      </c>
      <c r="D19" s="200"/>
      <c r="E19" s="200"/>
      <c r="F19" s="200"/>
      <c r="G19" s="200"/>
      <c r="H19" s="4"/>
      <c r="I19" s="4"/>
      <c r="J19" s="4"/>
      <c r="K19" s="4"/>
      <c r="L19" s="4"/>
      <c r="M19" s="19"/>
      <c r="N19" s="16"/>
      <c r="O19" s="16"/>
      <c r="P19" s="13"/>
      <c r="Q19" s="13"/>
      <c r="R19" s="13"/>
      <c r="S19" s="8"/>
      <c r="T19" s="8"/>
      <c r="U19" s="8"/>
      <c r="V19" s="16"/>
      <c r="W19" s="4"/>
      <c r="X19" s="13"/>
      <c r="Y19" s="13"/>
      <c r="Z19" s="13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28.5" x14ac:dyDescent="0.2">
      <c r="A20" s="13"/>
      <c r="B20" s="158" t="s">
        <v>56</v>
      </c>
      <c r="C20" s="199" t="s">
        <v>89</v>
      </c>
      <c r="D20" s="200"/>
      <c r="E20" s="200"/>
      <c r="F20" s="200"/>
      <c r="G20" s="200"/>
      <c r="H20" s="4"/>
      <c r="I20" s="4"/>
      <c r="J20" s="4"/>
      <c r="K20" s="4"/>
      <c r="L20" s="4"/>
      <c r="M20" s="19"/>
      <c r="N20" s="16"/>
      <c r="O20" s="16"/>
      <c r="P20" s="13"/>
      <c r="Q20" s="13"/>
      <c r="R20" s="13"/>
      <c r="S20" s="8"/>
      <c r="T20" s="8"/>
      <c r="U20" s="8"/>
      <c r="V20" s="16"/>
      <c r="W20" s="4"/>
      <c r="X20" s="13"/>
      <c r="Y20" s="13"/>
      <c r="Z20" s="1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28.5" x14ac:dyDescent="0.2">
      <c r="A21" s="13"/>
      <c r="B21" s="159" t="s">
        <v>65</v>
      </c>
      <c r="C21" s="199" t="s">
        <v>90</v>
      </c>
      <c r="D21" s="200"/>
      <c r="E21" s="200"/>
      <c r="F21" s="200"/>
      <c r="G21" s="200"/>
      <c r="H21" s="4"/>
      <c r="I21" s="4"/>
      <c r="J21" s="4"/>
      <c r="K21" s="4"/>
      <c r="L21" s="4"/>
      <c r="M21" s="19"/>
      <c r="N21" s="16"/>
      <c r="O21" s="16"/>
      <c r="P21" s="13"/>
      <c r="Q21" s="13"/>
      <c r="R21" s="13"/>
      <c r="S21" s="8"/>
      <c r="T21" s="8"/>
      <c r="U21" s="8"/>
      <c r="V21" s="16"/>
      <c r="W21" s="4"/>
      <c r="X21" s="13"/>
      <c r="Y21" s="13"/>
      <c r="Z21" s="1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">
      <c r="A22" s="13"/>
      <c r="B22" s="18"/>
      <c r="C22" s="2"/>
      <c r="D22" s="155"/>
      <c r="E22" s="155"/>
      <c r="F22" s="2"/>
      <c r="G22" s="2"/>
      <c r="H22" s="4"/>
      <c r="I22" s="4"/>
      <c r="J22" s="4"/>
      <c r="K22" s="4"/>
      <c r="L22" s="4"/>
      <c r="M22" s="19"/>
      <c r="N22" s="16"/>
      <c r="O22" s="16"/>
      <c r="P22" s="13"/>
      <c r="Q22" s="13"/>
      <c r="R22" s="13"/>
      <c r="S22" s="8"/>
      <c r="T22" s="8"/>
      <c r="U22" s="8"/>
      <c r="V22" s="16"/>
      <c r="W22" s="4"/>
      <c r="X22" s="13"/>
      <c r="Y22" s="13"/>
      <c r="Z22" s="1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">
      <c r="A23" s="13"/>
      <c r="B23" s="28" t="s">
        <v>91</v>
      </c>
      <c r="C23" s="199" t="s">
        <v>92</v>
      </c>
      <c r="D23" s="200"/>
      <c r="E23" s="200"/>
      <c r="F23" s="200"/>
      <c r="G23" s="200"/>
      <c r="H23" s="4"/>
      <c r="I23" s="4"/>
      <c r="J23" s="4"/>
      <c r="K23" s="4"/>
      <c r="L23" s="4"/>
      <c r="M23" s="19"/>
      <c r="N23" s="16"/>
      <c r="O23" s="16"/>
      <c r="P23" s="13"/>
      <c r="Q23" s="13"/>
      <c r="R23" s="13"/>
      <c r="S23" s="8"/>
      <c r="T23" s="8"/>
      <c r="U23" s="8"/>
      <c r="V23" s="16"/>
      <c r="W23" s="4"/>
      <c r="X23" s="13"/>
      <c r="Y23" s="13"/>
      <c r="Z23" s="1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">
      <c r="A24" s="13"/>
      <c r="B24" s="30" t="s">
        <v>94</v>
      </c>
      <c r="C24" s="199" t="s">
        <v>95</v>
      </c>
      <c r="D24" s="200"/>
      <c r="E24" s="200"/>
      <c r="F24" s="200"/>
      <c r="G24" s="200"/>
      <c r="H24" s="4"/>
      <c r="I24" s="4"/>
      <c r="J24" s="4"/>
      <c r="K24" s="4"/>
      <c r="L24" s="4"/>
      <c r="M24" s="19"/>
      <c r="N24" s="16"/>
      <c r="O24" s="16"/>
      <c r="P24" s="13"/>
      <c r="Q24" s="13"/>
      <c r="R24" s="13"/>
      <c r="S24" s="8"/>
      <c r="T24" s="8"/>
      <c r="U24" s="8"/>
      <c r="V24" s="16"/>
      <c r="W24" s="4"/>
      <c r="X24" s="13"/>
      <c r="Y24" s="13"/>
      <c r="Z24" s="1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2">
      <c r="A25" s="13"/>
      <c r="B25" s="32" t="s">
        <v>96</v>
      </c>
      <c r="C25" s="199" t="s">
        <v>97</v>
      </c>
      <c r="D25" s="200"/>
      <c r="E25" s="200"/>
      <c r="F25" s="200"/>
      <c r="G25" s="200"/>
      <c r="H25" s="4"/>
      <c r="I25" s="4"/>
      <c r="J25" s="4"/>
      <c r="K25" s="4"/>
      <c r="L25" s="4"/>
      <c r="M25" s="19"/>
      <c r="N25" s="16"/>
      <c r="O25" s="16"/>
      <c r="P25" s="13"/>
      <c r="Q25" s="13"/>
      <c r="R25" s="13"/>
      <c r="S25" s="8"/>
      <c r="T25" s="8"/>
      <c r="U25" s="8"/>
      <c r="V25" s="16"/>
      <c r="W25" s="4"/>
      <c r="X25" s="13"/>
      <c r="Y25" s="13"/>
      <c r="Z25" s="1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x14ac:dyDescent="0.2">
      <c r="A26" s="13"/>
      <c r="B26" s="18"/>
      <c r="C26" s="4"/>
      <c r="D26" s="18"/>
      <c r="E26" s="8"/>
      <c r="F26" s="4"/>
      <c r="G26" s="4"/>
      <c r="H26" s="4"/>
      <c r="I26" s="4"/>
      <c r="J26" s="4"/>
      <c r="K26" s="4"/>
      <c r="L26" s="4"/>
      <c r="M26" s="19"/>
      <c r="N26" s="16"/>
      <c r="O26" s="16"/>
      <c r="P26" s="13"/>
      <c r="Q26" s="13"/>
      <c r="R26" s="13"/>
      <c r="S26" s="8"/>
      <c r="T26" s="8"/>
      <c r="U26" s="8"/>
      <c r="V26" s="16"/>
      <c r="W26" s="4"/>
      <c r="X26" s="13"/>
      <c r="Y26" s="13"/>
      <c r="Z26" s="1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2">
      <c r="A27" s="13"/>
      <c r="B27" s="18"/>
      <c r="C27" s="4"/>
      <c r="D27" s="18"/>
      <c r="E27" s="8"/>
      <c r="F27" s="4"/>
      <c r="G27" s="4"/>
      <c r="H27" s="4"/>
      <c r="I27" s="4"/>
      <c r="J27" s="4"/>
      <c r="K27" s="4"/>
      <c r="L27" s="4"/>
      <c r="M27" s="19"/>
      <c r="N27" s="16"/>
      <c r="O27" s="16"/>
      <c r="P27" s="13"/>
      <c r="Q27" s="13"/>
      <c r="R27" s="13"/>
      <c r="S27" s="8"/>
      <c r="T27" s="8"/>
      <c r="U27" s="8"/>
      <c r="V27" s="16"/>
      <c r="W27" s="4"/>
      <c r="X27" s="13"/>
      <c r="Y27" s="13"/>
      <c r="Z27" s="1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</sheetData>
  <sheetProtection algorithmName="SHA-512" hashValue="5qkVcKhsErZT2hDoefYofOeB14AAZyfTgRbzBtG0xfcgoIy+371yIFl37+7Qsi4dCc/+UH7mq4TotJNp0PaBHA==" saltValue="8b7Q6WSSxgrTu57bVUK+UA==" spinCount="100000" sheet="1" selectLockedCells="1" autoFilter="0"/>
  <autoFilter ref="A1:Z6" xr:uid="{00000000-0001-0000-0200-000000000000}"/>
  <customSheetViews>
    <customSheetView guid="{3A6B1647-FE81-4D08-93FF-8878C0A8F211}" filter="1" showAutoFilter="1">
      <pageMargins left="0.7" right="0.7" top="0.75" bottom="0.75" header="0.3" footer="0.3"/>
      <autoFilter ref="A49:AA220" xr:uid="{731DB06C-C2BB-4C02-9E63-C4014F95A37E}"/>
      <extLst>
        <ext uri="GoogleSheetsCustomDataVersion1">
          <go:sheetsCustomData xmlns:go="http://customooxmlschemas.google.com/" filterViewId="976834670"/>
        </ext>
      </extLst>
    </customSheetView>
    <customSheetView guid="{1C8DE838-11D6-4F8D-A300-0436111F4A12}" filter="1" showAutoFilter="1">
      <pageMargins left="0.7" right="0.7" top="0.75" bottom="0.75" header="0.3" footer="0.3"/>
      <autoFilter ref="A49:I220" xr:uid="{6F644115-0359-4923-B70E-BBDA73EB5CDB}"/>
      <extLst>
        <ext uri="GoogleSheetsCustomDataVersion1">
          <go:sheetsCustomData xmlns:go="http://customooxmlschemas.google.com/" filterViewId="955307603"/>
        </ext>
      </extLst>
    </customSheetView>
    <customSheetView guid="{1FD4AC56-906D-4D4D-8534-FFCD905BEAB1}" filter="1" showAutoFilter="1">
      <pageMargins left="0.7" right="0.7" top="0.75" bottom="0.75" header="0.3" footer="0.3"/>
      <autoFilter ref="B57:B220" xr:uid="{282312C1-A925-441F-83E0-28A3DF159362}"/>
      <extLst>
        <ext uri="GoogleSheetsCustomDataVersion1">
          <go:sheetsCustomData xmlns:go="http://customooxmlschemas.google.com/" filterViewId="938737181"/>
        </ext>
      </extLst>
    </customSheetView>
    <customSheetView guid="{053C502E-8A07-4287-9848-FA53BEF25CDC}" filter="1" showAutoFilter="1">
      <pageMargins left="0.7" right="0.7" top="0.75" bottom="0.75" header="0.3" footer="0.3"/>
      <autoFilter ref="A49:O220" xr:uid="{3AF7FB69-72E5-4EFC-9BE2-E7E3E5734012}"/>
      <extLst>
        <ext uri="GoogleSheetsCustomDataVersion1">
          <go:sheetsCustomData xmlns:go="http://customooxmlschemas.google.com/" filterViewId="91459185"/>
        </ext>
      </extLst>
    </customSheetView>
    <customSheetView guid="{7D8F2336-9D3F-44C1-A24E-157AED1D31FC}" filter="1" showAutoFilter="1">
      <pageMargins left="0.7" right="0.7" top="0.75" bottom="0.75" header="0.3" footer="0.3"/>
      <autoFilter ref="A49:U220" xr:uid="{E5380B2B-5313-4409-9A32-2068DD1852D6}"/>
      <extLst>
        <ext uri="GoogleSheetsCustomDataVersion1">
          <go:sheetsCustomData xmlns:go="http://customooxmlschemas.google.com/" filterViewId="891266761"/>
        </ext>
      </extLst>
    </customSheetView>
    <customSheetView guid="{0F4A1A03-8A66-493D-AD63-B9D2D2F331E5}" filter="1" showAutoFilter="1">
      <pageMargins left="0.7" right="0.7" top="0.75" bottom="0.75" header="0.3" footer="0.3"/>
      <autoFilter ref="A49:I220" xr:uid="{00329AEA-D2B1-4138-845A-EA3A1C2D8DA0}"/>
      <extLst>
        <ext uri="GoogleSheetsCustomDataVersion1">
          <go:sheetsCustomData xmlns:go="http://customooxmlschemas.google.com/" filterViewId="891021227"/>
        </ext>
      </extLst>
    </customSheetView>
    <customSheetView guid="{05F2F1B6-41D6-4FE2-8B6F-005B78715AF3}" filter="1" showAutoFilter="1">
      <pageMargins left="0.7" right="0.7" top="0.75" bottom="0.75" header="0.3" footer="0.3"/>
      <autoFilter ref="A1:I220" xr:uid="{E8517379-93ED-4CD5-80A7-26E4E1DFECC0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881723737"/>
        </ext>
      </extLst>
    </customSheetView>
    <customSheetView guid="{8D8AE14E-EC20-440C-9C39-5BEA7CF5A04F}" filter="1" showAutoFilter="1">
      <pageMargins left="0.7" right="0.7" top="0.75" bottom="0.75" header="0.3" footer="0.3"/>
      <autoFilter ref="A49:J63" xr:uid="{5D7B4356-99FA-4997-855C-9037FC4DAAEF}"/>
      <extLst>
        <ext uri="GoogleSheetsCustomDataVersion1">
          <go:sheetsCustomData xmlns:go="http://customooxmlschemas.google.com/" filterViewId="86450948"/>
        </ext>
      </extLst>
    </customSheetView>
    <customSheetView guid="{09E5EA25-4EA2-495A-8983-EE3B02D31F2C}" filter="1" showAutoFilter="1">
      <pageMargins left="0.7" right="0.7" top="0.75" bottom="0.75" header="0.3" footer="0.3"/>
      <autoFilter ref="A1:AA220" xr:uid="{AADB9590-B3BF-41BE-AC97-3732CB37726C}"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849928316"/>
        </ext>
      </extLst>
    </customSheetView>
    <customSheetView guid="{DF0CDE49-DB4F-4350-80A8-21AFE39CC53C}" filter="1" showAutoFilter="1">
      <pageMargins left="0.7" right="0.7" top="0.75" bottom="0.75" header="0.3" footer="0.3"/>
      <autoFilter ref="A1:V220" xr:uid="{316EEB67-77F8-4377-AFB2-7074A98290B2}"/>
      <extLst>
        <ext uri="GoogleSheetsCustomDataVersion1">
          <go:sheetsCustomData xmlns:go="http://customooxmlschemas.google.com/" filterViewId="841375862"/>
        </ext>
      </extLst>
    </customSheetView>
    <customSheetView guid="{2F8F6613-367B-4DCA-AEBA-E7517ACEC861}" filter="1" showAutoFilter="1">
      <pageMargins left="0.7" right="0.7" top="0.75" bottom="0.75" header="0.3" footer="0.3"/>
      <autoFilter ref="A49:O220" xr:uid="{3BD118C1-0FD9-44E7-A340-5CB7079D78CC}"/>
      <extLst>
        <ext uri="GoogleSheetsCustomDataVersion1">
          <go:sheetsCustomData xmlns:go="http://customooxmlschemas.google.com/" filterViewId="835391891"/>
        </ext>
      </extLst>
    </customSheetView>
    <customSheetView guid="{62ECBD26-DE1A-4178-9982-7FCE8B05620C}" filter="1" showAutoFilter="1">
      <pageMargins left="0.7" right="0.7" top="0.75" bottom="0.75" header="0.3" footer="0.3"/>
      <autoFilter ref="A1:AA220" xr:uid="{B3B61B10-0966-472F-9930-5F36B7A3FECC}"/>
      <extLst>
        <ext uri="GoogleSheetsCustomDataVersion1">
          <go:sheetsCustomData xmlns:go="http://customooxmlschemas.google.com/" filterViewId="832110156"/>
        </ext>
      </extLst>
    </customSheetView>
    <customSheetView guid="{F7CC633A-5F52-46D7-BDDD-28A7BEC85582}" filter="1" showAutoFilter="1">
      <pageMargins left="0.7" right="0.7" top="0.75" bottom="0.75" header="0.3" footer="0.3"/>
      <autoFilter ref="A49:V220" xr:uid="{9F41AFD3-DF5C-41E6-83F8-85BDC79EC57C}"/>
      <extLst>
        <ext uri="GoogleSheetsCustomDataVersion1">
          <go:sheetsCustomData xmlns:go="http://customooxmlschemas.google.com/" filterViewId="827221447"/>
        </ext>
      </extLst>
    </customSheetView>
    <customSheetView guid="{B3EB6E87-762C-4DA1-9D1A-2D48EB032761}" filter="1" showAutoFilter="1">
      <pageMargins left="0.7" right="0.7" top="0.75" bottom="0.75" header="0.3" footer="0.3"/>
      <autoFilter ref="A1:V220" xr:uid="{AB7FAB62-D4CA-460F-B37B-3986D582F0EB}">
        <filterColumn colId="1">
          <filters>
            <filter val="Listado de Incidencias de la Revisión Funcional y Técnicas - Sistema GESTIÓN DE UBIGEO"/>
          </filters>
        </filterColumn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824769598"/>
        </ext>
      </extLst>
    </customSheetView>
    <customSheetView guid="{09C98F4F-9DB4-46CA-B54D-4A2995F0F31F}" filter="1" showAutoFilter="1">
      <pageMargins left="0.7" right="0.7" top="0.75" bottom="0.75" header="0.3" footer="0.3"/>
      <autoFilter ref="A49:U220" xr:uid="{E276B853-D051-4A14-AC3A-20E128AFFDDE}"/>
      <extLst>
        <ext uri="GoogleSheetsCustomDataVersion1">
          <go:sheetsCustomData xmlns:go="http://customooxmlschemas.google.com/" filterViewId="803318604"/>
        </ext>
      </extLst>
    </customSheetView>
    <customSheetView guid="{33F92E74-8D12-4DBD-BE96-35943AA5CB92}" filter="1" showAutoFilter="1">
      <pageMargins left="0.7" right="0.7" top="0.75" bottom="0.75" header="0.3" footer="0.3"/>
      <autoFilter ref="A2:O220" xr:uid="{317B829D-2B7B-4C2E-AF9A-D084C5B42D5B}"/>
      <extLst>
        <ext uri="GoogleSheetsCustomDataVersion1">
          <go:sheetsCustomData xmlns:go="http://customooxmlschemas.google.com/" filterViewId="799582926"/>
        </ext>
      </extLst>
    </customSheetView>
    <customSheetView guid="{B7459739-FF7B-43B3-B250-0DCF8416E401}" filter="1" showAutoFilter="1">
      <pageMargins left="0.7" right="0.7" top="0.75" bottom="0.75" header="0.3" footer="0.3"/>
      <autoFilter ref="A49:J63" xr:uid="{82C91C97-A379-4D47-BFD1-2050E8CEC930}"/>
      <extLst>
        <ext uri="GoogleSheetsCustomDataVersion1">
          <go:sheetsCustomData xmlns:go="http://customooxmlschemas.google.com/" filterViewId="799161824"/>
        </ext>
      </extLst>
    </customSheetView>
    <customSheetView guid="{7272C260-9D42-4FE7-AF5C-17DA2E6B1E3E}" filter="1" showAutoFilter="1">
      <pageMargins left="0.7" right="0.7" top="0.75" bottom="0.75" header="0.3" footer="0.3"/>
      <autoFilter ref="A49:I220" xr:uid="{91D8AE28-E1C2-4717-ACB8-817AEB4C9812}"/>
      <extLst>
        <ext uri="GoogleSheetsCustomDataVersion1">
          <go:sheetsCustomData xmlns:go="http://customooxmlschemas.google.com/" filterViewId="795572380"/>
        </ext>
      </extLst>
    </customSheetView>
    <customSheetView guid="{EA83768B-FD5D-4C67-B984-7D21B1EE700F}" filter="1" showAutoFilter="1">
      <pageMargins left="0.7" right="0.7" top="0.75" bottom="0.75" header="0.3" footer="0.3"/>
      <autoFilter ref="A49:U220" xr:uid="{FE262C9F-472C-468B-9FD9-802CD7B9B1DF}"/>
      <extLst>
        <ext uri="GoogleSheetsCustomDataVersion1">
          <go:sheetsCustomData xmlns:go="http://customooxmlschemas.google.com/" filterViewId="749671388"/>
        </ext>
      </extLst>
    </customSheetView>
    <customSheetView guid="{93ECD254-DE4D-4685-A725-C03982E2F41A}" filter="1" showAutoFilter="1">
      <pageMargins left="0.7" right="0.7" top="0.75" bottom="0.75" header="0.3" footer="0.3"/>
      <autoFilter ref="A1:V220" xr:uid="{0E4D499B-BFFA-4105-9105-E7B6FBC4A923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747904384"/>
        </ext>
      </extLst>
    </customSheetView>
    <customSheetView guid="{5A77D55B-90AE-46C6-8056-00D7E95E5C7B}" filter="1" showAutoFilter="1">
      <pageMargins left="0.7" right="0.7" top="0.75" bottom="0.75" header="0.3" footer="0.3"/>
      <autoFilter ref="A1:V220" xr:uid="{2F3C155A-FA09-4622-B329-017966CD2C2E}">
        <filterColumn colId="1">
          <filters>
            <filter val="Listado de Incidencias de la Revisión Funcional y Técnicas - Sistema GESTIÓN DE UBIGEO"/>
          </filters>
        </filterColumn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731084919"/>
        </ext>
      </extLst>
    </customSheetView>
    <customSheetView guid="{36F164B3-D871-43E5-A9AC-A6B23943FEEB}" filter="1" showAutoFilter="1">
      <pageMargins left="0.7" right="0.7" top="0.75" bottom="0.75" header="0.3" footer="0.3"/>
      <autoFilter ref="A49:I220" xr:uid="{86A9B9C9-F23D-438E-B288-BE54FBF6C509}"/>
      <extLst>
        <ext uri="GoogleSheetsCustomDataVersion1">
          <go:sheetsCustomData xmlns:go="http://customooxmlschemas.google.com/" filterViewId="718576897"/>
        </ext>
      </extLst>
    </customSheetView>
    <customSheetView guid="{AE376600-0DC7-44D2-94B2-2029C1D5E558}" filter="1" showAutoFilter="1">
      <pageMargins left="0.7" right="0.7" top="0.75" bottom="0.75" header="0.3" footer="0.3"/>
      <autoFilter ref="A49:O220" xr:uid="{B53CFC45-5C5B-4AF4-B39E-0A9655510108}"/>
      <extLst>
        <ext uri="GoogleSheetsCustomDataVersion1">
          <go:sheetsCustomData xmlns:go="http://customooxmlschemas.google.com/" filterViewId="694366937"/>
        </ext>
      </extLst>
    </customSheetView>
    <customSheetView guid="{7999E4B6-7D61-4AE0-ADF5-8A0A393A3158}" filter="1" showAutoFilter="1">
      <pageMargins left="0.7" right="0.7" top="0.75" bottom="0.75" header="0.3" footer="0.3"/>
      <autoFilter ref="A2:O220" xr:uid="{5B93ED34-1364-40D6-A754-92A3277EA30F}"/>
      <extLst>
        <ext uri="GoogleSheetsCustomDataVersion1">
          <go:sheetsCustomData xmlns:go="http://customooxmlschemas.google.com/" filterViewId="670554760"/>
        </ext>
      </extLst>
    </customSheetView>
    <customSheetView guid="{E1BBFA9A-8080-46FE-A961-BB23E161865A}" filter="1" showAutoFilter="1">
      <pageMargins left="0.7" right="0.7" top="0.75" bottom="0.75" header="0.3" footer="0.3"/>
      <autoFilter ref="P49:P220" xr:uid="{8452287D-E550-4B0A-B6E7-B7C9A7BA151F}"/>
      <extLst>
        <ext uri="GoogleSheetsCustomDataVersion1">
          <go:sheetsCustomData xmlns:go="http://customooxmlschemas.google.com/" filterViewId="639686157"/>
        </ext>
      </extLst>
    </customSheetView>
    <customSheetView guid="{9B1F8FA7-7628-4886-B11B-BEDED8C7DBA6}" filter="1" showAutoFilter="1">
      <pageMargins left="0.7" right="0.7" top="0.75" bottom="0.75" header="0.3" footer="0.3"/>
      <autoFilter ref="A1:I220" xr:uid="{E4E5CF2A-85BE-43CC-9AAE-F53F23583D75}"/>
      <extLst>
        <ext uri="GoogleSheetsCustomDataVersion1">
          <go:sheetsCustomData xmlns:go="http://customooxmlschemas.google.com/" filterViewId="615183201"/>
        </ext>
      </extLst>
    </customSheetView>
    <customSheetView guid="{B162741D-8425-4252-BBD0-02C84E11E10D}" filter="1" showAutoFilter="1">
      <pageMargins left="0.7" right="0.7" top="0.75" bottom="0.75" header="0.3" footer="0.3"/>
      <autoFilter ref="A1:I220" xr:uid="{2ED008AE-DBF5-45B6-B105-C9FD0B6F9511}"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609836751"/>
        </ext>
      </extLst>
    </customSheetView>
    <customSheetView guid="{71E9F136-BF55-4DE1-A35E-D0AE3E2D9B40}" filter="1" showAutoFilter="1">
      <pageMargins left="0.7" right="0.7" top="0.75" bottom="0.75" header="0.3" footer="0.3"/>
      <autoFilter ref="A49:U220" xr:uid="{5DB2FAFC-E747-4700-9892-FAE1F660EE39}"/>
      <extLst>
        <ext uri="GoogleSheetsCustomDataVersion1">
          <go:sheetsCustomData xmlns:go="http://customooxmlschemas.google.com/" filterViewId="600532170"/>
        </ext>
      </extLst>
    </customSheetView>
    <customSheetView guid="{B92DDE69-5E88-447B-AC8C-54227A5354D3}" filter="1" showAutoFilter="1">
      <pageMargins left="0.7" right="0.7" top="0.75" bottom="0.75" header="0.3" footer="0.3"/>
      <autoFilter ref="A1:V220" xr:uid="{A84D296C-48B9-41D0-81F0-9C4ADE98990B}">
        <filterColumn colId="1">
          <filters>
            <filter val="Listado de Incidencias de la Revisión Funcional y Técnicas - Sistema GESTIÓN DE UBIGEO"/>
          </filters>
        </filterColumn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589925107"/>
        </ext>
      </extLst>
    </customSheetView>
    <customSheetView guid="{510F36EF-0F2F-4421-8AE2-42331185E17D}" filter="1" showAutoFilter="1">
      <pageMargins left="0.7" right="0.7" top="0.75" bottom="0.75" header="0.3" footer="0.3"/>
      <autoFilter ref="A49:O220" xr:uid="{4945DE21-9388-42EF-A78E-056A2D257669}"/>
      <extLst>
        <ext uri="GoogleSheetsCustomDataVersion1">
          <go:sheetsCustomData xmlns:go="http://customooxmlschemas.google.com/" filterViewId="588146528"/>
        </ext>
      </extLst>
    </customSheetView>
    <customSheetView guid="{2616F909-F6A8-4875-92F1-7489011979BE}" filter="1" showAutoFilter="1">
      <pageMargins left="0.7" right="0.7" top="0.75" bottom="0.75" header="0.3" footer="0.3"/>
      <autoFilter ref="A49:AA220" xr:uid="{1681E771-22A6-40BA-B679-7FC035DFB80C}"/>
      <extLst>
        <ext uri="GoogleSheetsCustomDataVersion1">
          <go:sheetsCustomData xmlns:go="http://customooxmlschemas.google.com/" filterViewId="578811342"/>
        </ext>
      </extLst>
    </customSheetView>
    <customSheetView guid="{D1C575F5-1C84-4676-BF56-DBF11A7D392C}" filter="1" showAutoFilter="1">
      <pageMargins left="0.7" right="0.7" top="0.75" bottom="0.75" header="0.3" footer="0.3"/>
      <autoFilter ref="A64:Q220" xr:uid="{98D75779-3245-440C-9BD0-89B6578F04DB}"/>
      <extLst>
        <ext uri="GoogleSheetsCustomDataVersion1">
          <go:sheetsCustomData xmlns:go="http://customooxmlschemas.google.com/" filterViewId="54506934"/>
        </ext>
      </extLst>
    </customSheetView>
    <customSheetView guid="{9AB29BC3-9A36-4807-9E18-226781CBDA38}" filter="1" showAutoFilter="1">
      <pageMargins left="0.7" right="0.7" top="0.75" bottom="0.75" header="0.3" footer="0.3"/>
      <autoFilter ref="A49:M220" xr:uid="{FA97E3BA-425B-4CA5-B158-7D84E4DB935A}"/>
      <extLst>
        <ext uri="GoogleSheetsCustomDataVersion1">
          <go:sheetsCustomData xmlns:go="http://customooxmlschemas.google.com/" filterViewId="542806834"/>
        </ext>
      </extLst>
    </customSheetView>
    <customSheetView guid="{7F04ED7C-AC49-46EC-B849-703F10341C5D}" filter="1" showAutoFilter="1">
      <pageMargins left="0.7" right="0.7" top="0.75" bottom="0.75" header="0.3" footer="0.3"/>
      <autoFilter ref="A1:T50" xr:uid="{3B31CFCD-5A9E-4955-A99F-80878413B853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513731145"/>
        </ext>
      </extLst>
    </customSheetView>
    <customSheetView guid="{083EE738-64D6-4E61-826A-8DE1537EB8D2}" filter="1" showAutoFilter="1">
      <pageMargins left="0.7" right="0.7" top="0.75" bottom="0.75" header="0.3" footer="0.3"/>
      <autoFilter ref="A1:V220" xr:uid="{33E1222E-3E3D-40DA-94F2-0982E3916A61}">
        <filterColumn colId="1">
          <filters>
            <filter val="Listado de Incidencias de la Revisión Funcional y Técnicas - Sistema GESTIÓN DE UBIGEO"/>
          </filters>
        </filterColumn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495784157"/>
        </ext>
      </extLst>
    </customSheetView>
    <customSheetView guid="{E44B98C0-844E-4F9B-B0CA-59B94217FA6D}" filter="1" showAutoFilter="1">
      <pageMargins left="0.7" right="0.7" top="0.75" bottom="0.75" header="0.3" footer="0.3"/>
      <autoFilter ref="A1:V220" xr:uid="{6A761921-7D3D-4CB8-ABFE-275C6E0ADE41}"/>
      <extLst>
        <ext uri="GoogleSheetsCustomDataVersion1">
          <go:sheetsCustomData xmlns:go="http://customooxmlschemas.google.com/" filterViewId="485891696"/>
        </ext>
      </extLst>
    </customSheetView>
    <customSheetView guid="{4C23C600-26F2-4062-8D06-D7DF755CD599}" filter="1" showAutoFilter="1">
      <pageMargins left="0.7" right="0.7" top="0.75" bottom="0.75" header="0.3" footer="0.3"/>
      <autoFilter ref="A1:V220" xr:uid="{3051EE97-DB9D-40AF-82E8-4B7F57F63176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476848120"/>
        </ext>
      </extLst>
    </customSheetView>
    <customSheetView guid="{D7718746-2F54-4DFE-A769-D6472F3E6C0B}" filter="1" showAutoFilter="1">
      <pageMargins left="0.7" right="0.7" top="0.75" bottom="0.75" header="0.3" footer="0.3"/>
      <autoFilter ref="A49:V220" xr:uid="{FD3B811C-4ED5-4EC5-8126-B6BD7A562A47}"/>
      <extLst>
        <ext uri="GoogleSheetsCustomDataVersion1">
          <go:sheetsCustomData xmlns:go="http://customooxmlschemas.google.com/" filterViewId="393575777"/>
        </ext>
      </extLst>
    </customSheetView>
    <customSheetView guid="{F7E8F26E-8764-4FA2-A2A3-DA3698DA687E}" filter="1" showAutoFilter="1">
      <pageMargins left="0.7" right="0.7" top="0.75" bottom="0.75" header="0.3" footer="0.3"/>
      <autoFilter ref="R49:T50" xr:uid="{493BB886-A644-4A23-837E-7D8B40EDC064}"/>
      <extLst>
        <ext uri="GoogleSheetsCustomDataVersion1">
          <go:sheetsCustomData xmlns:go="http://customooxmlschemas.google.com/" filterViewId="346058342"/>
        </ext>
      </extLst>
    </customSheetView>
    <customSheetView guid="{BD7589DB-E533-4290-9606-AA69C7E4348C}" filter="1" showAutoFilter="1">
      <pageMargins left="0.7" right="0.7" top="0.75" bottom="0.75" header="0.3" footer="0.3"/>
      <autoFilter ref="A49:M220" xr:uid="{6AA46B5E-8E0E-46E0-9844-943A425A12EB}"/>
      <extLst>
        <ext uri="GoogleSheetsCustomDataVersion1">
          <go:sheetsCustomData xmlns:go="http://customooxmlschemas.google.com/" filterViewId="341838858"/>
        </ext>
      </extLst>
    </customSheetView>
    <customSheetView guid="{DB1FD483-6838-44DA-8553-3FBA6168CA60}" filter="1" showAutoFilter="1">
      <pageMargins left="0.7" right="0.7" top="0.75" bottom="0.75" header="0.3" footer="0.3"/>
      <autoFilter ref="A49:O220" xr:uid="{5C5A7DB3-8536-4678-864D-9AFD92AE0104}"/>
      <extLst>
        <ext uri="GoogleSheetsCustomDataVersion1">
          <go:sheetsCustomData xmlns:go="http://customooxmlschemas.google.com/" filterViewId="33123136"/>
        </ext>
      </extLst>
    </customSheetView>
    <customSheetView guid="{DD03F7C5-881E-47D5-B147-00CDBDABBB1C}" filter="1" showAutoFilter="1">
      <pageMargins left="0.7" right="0.7" top="0.75" bottom="0.75" header="0.3" footer="0.3"/>
      <autoFilter ref="P49:P220" xr:uid="{12874862-8AF9-487B-8A2F-F10527F7BB40}"/>
      <extLst>
        <ext uri="GoogleSheetsCustomDataVersion1">
          <go:sheetsCustomData xmlns:go="http://customooxmlschemas.google.com/" filterViewId="314260300"/>
        </ext>
      </extLst>
    </customSheetView>
    <customSheetView guid="{52D82730-8101-42C2-8356-45F6C23FB072}" filter="1" showAutoFilter="1">
      <pageMargins left="0.7" right="0.7" top="0.75" bottom="0.75" header="0.3" footer="0.3"/>
      <autoFilter ref="A49:U220" xr:uid="{6EC88296-439E-4B46-A743-101789CF4255}"/>
      <extLst>
        <ext uri="GoogleSheetsCustomDataVersion1">
          <go:sheetsCustomData xmlns:go="http://customooxmlschemas.google.com/" filterViewId="313728309"/>
        </ext>
      </extLst>
    </customSheetView>
    <customSheetView guid="{128F9D38-1393-4A5A-8793-FA346A5557C6}" filter="1" showAutoFilter="1">
      <pageMargins left="0.7" right="0.7" top="0.75" bottom="0.75" header="0.3" footer="0.3"/>
      <autoFilter ref="A49:J63" xr:uid="{CBA7BA32-4ECE-429C-B63D-7D0C29BE5B82}"/>
      <extLst>
        <ext uri="GoogleSheetsCustomDataVersion1">
          <go:sheetsCustomData xmlns:go="http://customooxmlschemas.google.com/" filterViewId="3104153"/>
        </ext>
      </extLst>
    </customSheetView>
    <customSheetView guid="{1A99267A-0283-4461-BF75-71DA22AC7D08}" filter="1" showAutoFilter="1">
      <pageMargins left="0.7" right="0.7" top="0.75" bottom="0.75" header="0.3" footer="0.3"/>
      <autoFilter ref="A49:I220" xr:uid="{6BB48401-F7D3-4CD8-9554-7EA3CD7DDC69}"/>
      <extLst>
        <ext uri="GoogleSheetsCustomDataVersion1">
          <go:sheetsCustomData xmlns:go="http://customooxmlschemas.google.com/" filterViewId="297846484"/>
        </ext>
      </extLst>
    </customSheetView>
    <customSheetView guid="{A50EDA5E-0A24-4646-BCC0-46E1AF7647AA}" filter="1" showAutoFilter="1">
      <pageMargins left="0.7" right="0.7" top="0.75" bottom="0.75" header="0.3" footer="0.3"/>
      <autoFilter ref="A1:V220" xr:uid="{B7220793-9B5F-45E6-911D-C504B78155EC}"/>
      <extLst>
        <ext uri="GoogleSheetsCustomDataVersion1">
          <go:sheetsCustomData xmlns:go="http://customooxmlschemas.google.com/" filterViewId="29527247"/>
        </ext>
      </extLst>
    </customSheetView>
    <customSheetView guid="{D882DDE6-CE72-4198-BF6E-8949ECE51BD4}" filter="1" showAutoFilter="1">
      <pageMargins left="0.7" right="0.7" top="0.75" bottom="0.75" header="0.3" footer="0.3"/>
      <autoFilter ref="A1:I220" xr:uid="{5E39310C-E26E-4353-A2C0-4410288F4706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256774455"/>
        </ext>
      </extLst>
    </customSheetView>
    <customSheetView guid="{0D3440E2-FC27-4522-BB39-DF9F0B4D5D72}" filter="1" showAutoFilter="1">
      <pageMargins left="0.7" right="0.7" top="0.75" bottom="0.75" header="0.3" footer="0.3"/>
      <autoFilter ref="A2:O220" xr:uid="{9F6070B6-5EFB-4AFF-AD0E-DCF6E727A9CA}"/>
      <extLst>
        <ext uri="GoogleSheetsCustomDataVersion1">
          <go:sheetsCustomData xmlns:go="http://customooxmlschemas.google.com/" filterViewId="22330532"/>
        </ext>
      </extLst>
    </customSheetView>
    <customSheetView guid="{9153D549-821F-4323-ACFA-AD887DB51096}" filter="1" showAutoFilter="1">
      <pageMargins left="0.7" right="0.7" top="0.75" bottom="0.75" header="0.3" footer="0.3"/>
      <autoFilter ref="A49:I220" xr:uid="{82E53CF8-0F14-4805-91F0-04E36225F515}"/>
      <extLst>
        <ext uri="GoogleSheetsCustomDataVersion1">
          <go:sheetsCustomData xmlns:go="http://customooxmlschemas.google.com/" filterViewId="2145497283"/>
        </ext>
      </extLst>
    </customSheetView>
    <customSheetView guid="{572EF3AC-D508-4E63-B67A-DDBAEF024046}" filter="1" showAutoFilter="1">
      <pageMargins left="0.7" right="0.7" top="0.75" bottom="0.75" header="0.3" footer="0.3"/>
      <autoFilter ref="A1:V220" xr:uid="{7EDB9C00-AADB-4DFA-B304-2F9961E12126}">
        <filterColumn colId="1">
          <filters>
            <filter val="Listado de Incidencias de la Revisión Funcional y Técnicas - Sistema GESTIÓN DE UBIGEO"/>
          </filters>
        </filterColumn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2145114185"/>
        </ext>
      </extLst>
    </customSheetView>
    <customSheetView guid="{3975D1DF-8296-445E-A42B-725F6FF47E60}" filter="1" showAutoFilter="1">
      <pageMargins left="0.7" right="0.7" top="0.75" bottom="0.75" header="0.3" footer="0.3"/>
      <autoFilter ref="A1:I220" xr:uid="{81D5764B-C0E2-4F8D-9F94-36E82C64E0E0}"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2127030191"/>
        </ext>
      </extLst>
    </customSheetView>
    <customSheetView guid="{7AB1E8AC-40AE-4C5C-9BDA-456DF484F5AC}" filter="1" showAutoFilter="1">
      <pageMargins left="0.7" right="0.7" top="0.75" bottom="0.75" header="0.3" footer="0.3"/>
      <autoFilter ref="A49:O220" xr:uid="{4ABE43DF-7F48-4388-8415-5DF7F2EE75CC}"/>
      <extLst>
        <ext uri="GoogleSheetsCustomDataVersion1">
          <go:sheetsCustomData xmlns:go="http://customooxmlschemas.google.com/" filterViewId="2108009562"/>
        </ext>
      </extLst>
    </customSheetView>
    <customSheetView guid="{9606A4B3-1BC0-452F-883A-4EF796C71F74}" filter="1" showAutoFilter="1">
      <pageMargins left="0.7" right="0.7" top="0.75" bottom="0.75" header="0.3" footer="0.3"/>
      <autoFilter ref="A2:O220" xr:uid="{2F44B060-7AD8-4E6C-B056-15707F388E15}"/>
      <extLst>
        <ext uri="GoogleSheetsCustomDataVersion1">
          <go:sheetsCustomData xmlns:go="http://customooxmlschemas.google.com/" filterViewId="2103827302"/>
        </ext>
      </extLst>
    </customSheetView>
    <customSheetView guid="{F26DA7BC-EBF9-48D6-AD40-3714AF19063A}" filter="1" showAutoFilter="1">
      <pageMargins left="0.7" right="0.7" top="0.75" bottom="0.75" header="0.3" footer="0.3"/>
      <autoFilter ref="A49:O63" xr:uid="{C8A6AA74-802E-4B3C-A5C9-9596A29D2453}"/>
      <extLst>
        <ext uri="GoogleSheetsCustomDataVersion1">
          <go:sheetsCustomData xmlns:go="http://customooxmlschemas.google.com/" filterViewId="208533776"/>
        </ext>
      </extLst>
    </customSheetView>
    <customSheetView guid="{7284F595-B615-41DE-95E5-376C6CD6673F}" filter="1" showAutoFilter="1">
      <pageMargins left="0.7" right="0.7" top="0.75" bottom="0.75" header="0.3" footer="0.3"/>
      <autoFilter ref="A49:O220" xr:uid="{08E39EAD-12DA-4812-A5F7-739A5CFF693E}"/>
      <extLst>
        <ext uri="GoogleSheetsCustomDataVersion1">
          <go:sheetsCustomData xmlns:go="http://customooxmlschemas.google.com/" filterViewId="2081209738"/>
        </ext>
      </extLst>
    </customSheetView>
    <customSheetView guid="{5727B7AE-53CF-47FC-A192-2FFE798B15CD}" filter="1" showAutoFilter="1">
      <pageMargins left="0.7" right="0.7" top="0.75" bottom="0.75" header="0.3" footer="0.3"/>
      <autoFilter ref="A49:I220" xr:uid="{435AEB1C-DA27-474D-A9A2-74973622FCB6}"/>
      <extLst>
        <ext uri="GoogleSheetsCustomDataVersion1">
          <go:sheetsCustomData xmlns:go="http://customooxmlschemas.google.com/" filterViewId="2072670567"/>
        </ext>
      </extLst>
    </customSheetView>
    <customSheetView guid="{3785B557-4AE9-4AF6-A2C2-13FE9E0136EA}" filter="1" showAutoFilter="1">
      <pageMargins left="0.7" right="0.7" top="0.75" bottom="0.75" header="0.3" footer="0.3"/>
      <autoFilter ref="A1:AA220" xr:uid="{0F0F51FB-8504-4E63-8BBD-6C98B736F04C}"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2072150169"/>
        </ext>
      </extLst>
    </customSheetView>
    <customSheetView guid="{BE65F6DD-399B-428E-BB3F-BCC96056DA57}" filter="1" showAutoFilter="1">
      <pageMargins left="0.7" right="0.7" top="0.75" bottom="0.75" header="0.3" footer="0.3"/>
      <autoFilter ref="A1:AA220" xr:uid="{B10BBB05-E3F6-4E4E-A358-AD3B5213AA2C}"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205196111"/>
        </ext>
      </extLst>
    </customSheetView>
    <customSheetView guid="{971C5F02-9B1E-485C-B1A9-90404A374CF4}" filter="1" showAutoFilter="1">
      <pageMargins left="0.7" right="0.7" top="0.75" bottom="0.75" header="0.3" footer="0.3"/>
      <autoFilter ref="A49:I220" xr:uid="{FCEF2FDC-3F1E-48AD-98AD-E6C8E3C67A93}"/>
      <extLst>
        <ext uri="GoogleSheetsCustomDataVersion1">
          <go:sheetsCustomData xmlns:go="http://customooxmlschemas.google.com/" filterViewId="2045357579"/>
        </ext>
      </extLst>
    </customSheetView>
    <customSheetView guid="{F9DE771A-18A2-4404-962B-2DD44CB4E30D}" filter="1" showAutoFilter="1">
      <pageMargins left="0.7" right="0.7" top="0.75" bottom="0.75" header="0.3" footer="0.3"/>
      <autoFilter ref="A49:J63" xr:uid="{635A09FE-F00A-450F-9643-38BBE7CAECB4}"/>
      <extLst>
        <ext uri="GoogleSheetsCustomDataVersion1">
          <go:sheetsCustomData xmlns:go="http://customooxmlschemas.google.com/" filterViewId="2044742350"/>
        </ext>
      </extLst>
    </customSheetView>
    <customSheetView guid="{46F690DE-B704-4543-ADDC-843710AE2022}" filter="1" showAutoFilter="1">
      <pageMargins left="0.7" right="0.7" top="0.75" bottom="0.75" header="0.3" footer="0.3"/>
      <autoFilter ref="A2:O220" xr:uid="{953C63C7-8212-4576-9756-32598ADE6473}"/>
      <extLst>
        <ext uri="GoogleSheetsCustomDataVersion1">
          <go:sheetsCustomData xmlns:go="http://customooxmlschemas.google.com/" filterViewId="198811509"/>
        </ext>
      </extLst>
    </customSheetView>
    <customSheetView guid="{C64B538E-0962-4D5E-86E4-16DF91F67BB6}" filter="1" showAutoFilter="1">
      <pageMargins left="0.7" right="0.7" top="0.75" bottom="0.75" header="0.3" footer="0.3"/>
      <autoFilter ref="A1:V220" xr:uid="{B3C6A6A4-C41E-4E19-8D12-F38F48A8F581}"/>
      <extLst>
        <ext uri="GoogleSheetsCustomDataVersion1">
          <go:sheetsCustomData xmlns:go="http://customooxmlschemas.google.com/" filterViewId="1983349160"/>
        </ext>
      </extLst>
    </customSheetView>
    <customSheetView guid="{FAEF2C7F-3C68-45C7-AFF8-3A03981A467E}" filter="1" showAutoFilter="1">
      <pageMargins left="0.7" right="0.7" top="0.75" bottom="0.75" header="0.3" footer="0.3"/>
      <autoFilter ref="A1:AA220" xr:uid="{FB826F2F-AEA6-47A5-B26A-F5526952C116}"/>
      <extLst>
        <ext uri="GoogleSheetsCustomDataVersion1">
          <go:sheetsCustomData xmlns:go="http://customooxmlschemas.google.com/" filterViewId="1970561399"/>
        </ext>
      </extLst>
    </customSheetView>
    <customSheetView guid="{82E21F95-1658-417F-B1CA-2512C9DA8B72}" filter="1" showAutoFilter="1">
      <pageMargins left="0.7" right="0.7" top="0.75" bottom="0.75" header="0.3" footer="0.3"/>
      <autoFilter ref="A49:O220" xr:uid="{1DDE5DA0-D860-4728-982C-4398EA2A4A6D}"/>
      <extLst>
        <ext uri="GoogleSheetsCustomDataVersion1">
          <go:sheetsCustomData xmlns:go="http://customooxmlschemas.google.com/" filterViewId="1952460655"/>
        </ext>
      </extLst>
    </customSheetView>
    <customSheetView guid="{B98AFEF4-BC2B-43A3-A2BA-F6114E6C2754}" filter="1" showAutoFilter="1">
      <pageMargins left="0.7" right="0.7" top="0.75" bottom="0.75" header="0.3" footer="0.3"/>
      <autoFilter ref="A49:M220" xr:uid="{A33BC146-11CC-455C-941A-2B1ADDD05C79}"/>
      <extLst>
        <ext uri="GoogleSheetsCustomDataVersion1">
          <go:sheetsCustomData xmlns:go="http://customooxmlschemas.google.com/" filterViewId="194767888"/>
        </ext>
      </extLst>
    </customSheetView>
    <customSheetView guid="{BE65F6DD-399B-428E-BB3F-BCC96056DA57}" filter="1" showAutoFilter="1">
      <pageMargins left="0.7" right="0.7" top="0.75" bottom="0.75" header="0.3" footer="0.3"/>
      <autoFilter ref="A49:AA220" xr:uid="{B1651862-EE3D-4F11-B515-733E43C86D8B}"/>
      <extLst>
        <ext uri="GoogleSheetsCustomDataVersion1">
          <go:sheetsCustomData xmlns:go="http://customooxmlschemas.google.com/" filterViewId="1934378667"/>
        </ext>
      </extLst>
    </customSheetView>
    <customSheetView guid="{7187F25A-3EAF-42F1-AF8C-E58536792040}" filter="1" showAutoFilter="1">
      <pageMargins left="0.7" right="0.7" top="0.75" bottom="0.75" header="0.3" footer="0.3"/>
      <autoFilter ref="A49:AA220" xr:uid="{89C850EC-9CF7-412C-97A3-AE46B28AFE2E}"/>
      <extLst>
        <ext uri="GoogleSheetsCustomDataVersion1">
          <go:sheetsCustomData xmlns:go="http://customooxmlschemas.google.com/" filterViewId="1922798539"/>
        </ext>
      </extLst>
    </customSheetView>
    <customSheetView guid="{022B7002-BF2C-467C-94C6-2F4B1957B723}" filter="1" showAutoFilter="1">
      <pageMargins left="0.7" right="0.7" top="0.75" bottom="0.75" header="0.3" footer="0.3"/>
      <autoFilter ref="A1:V220" xr:uid="{A9ABB46A-0C97-477E-970B-3E8FCFAD3570}"/>
      <extLst>
        <ext uri="GoogleSheetsCustomDataVersion1">
          <go:sheetsCustomData xmlns:go="http://customooxmlschemas.google.com/" filterViewId="1922461570"/>
        </ext>
      </extLst>
    </customSheetView>
    <customSheetView guid="{AC42C643-2221-4965-AFA1-3F2281718069}" filter="1" showAutoFilter="1">
      <pageMargins left="0.7" right="0.7" top="0.75" bottom="0.75" header="0.3" footer="0.3"/>
      <autoFilter ref="A49:O220" xr:uid="{91495EC5-8F92-4641-9CE8-657EFA18C7F8}"/>
      <extLst>
        <ext uri="GoogleSheetsCustomDataVersion1">
          <go:sheetsCustomData xmlns:go="http://customooxmlschemas.google.com/" filterViewId="1905388939"/>
        </ext>
      </extLst>
    </customSheetView>
    <customSheetView guid="{941495F1-D6A5-472F-BEB0-6902BA9F7689}" filter="1" showAutoFilter="1">
      <pageMargins left="0.7" right="0.7" top="0.75" bottom="0.75" header="0.3" footer="0.3"/>
      <autoFilter ref="R3:V20" xr:uid="{3C6B440A-6CDC-4523-AE6F-4BB01ED0BAC7}"/>
      <extLst>
        <ext uri="GoogleSheetsCustomDataVersion1">
          <go:sheetsCustomData xmlns:go="http://customooxmlschemas.google.com/" filterViewId="1895617895"/>
        </ext>
      </extLst>
    </customSheetView>
    <customSheetView guid="{61093876-A7FA-4A91-B12D-271A029B9412}" filter="1" showAutoFilter="1">
      <pageMargins left="0.7" right="0.7" top="0.75" bottom="0.75" header="0.3" footer="0.3"/>
      <autoFilter ref="A49:U220" xr:uid="{D0623C75-2169-442E-9857-7C28F5F61CA7}"/>
      <extLst>
        <ext uri="GoogleSheetsCustomDataVersion1">
          <go:sheetsCustomData xmlns:go="http://customooxmlschemas.google.com/" filterViewId="189340747"/>
        </ext>
      </extLst>
    </customSheetView>
    <customSheetView guid="{BFAD60BA-8618-4F78-92CE-83AE13F01A3B}" filter="1" showAutoFilter="1">
      <pageMargins left="0.7" right="0.7" top="0.75" bottom="0.75" header="0.3" footer="0.3"/>
      <autoFilter ref="A1:V220" xr:uid="{04086F92-EEA0-407A-9F2D-DA766D1A7277}"/>
      <extLst>
        <ext uri="GoogleSheetsCustomDataVersion1">
          <go:sheetsCustomData xmlns:go="http://customooxmlschemas.google.com/" filterViewId="187998180"/>
        </ext>
      </extLst>
    </customSheetView>
    <customSheetView guid="{9F75FFB3-F1FD-4974-A8B3-7EA947D02A33}" filter="1" showAutoFilter="1">
      <pageMargins left="0.7" right="0.7" top="0.75" bottom="0.75" header="0.3" footer="0.3"/>
      <autoFilter ref="A49:O220" xr:uid="{0F5C36CB-D710-44F4-8A4B-C529D3C9704A}"/>
      <extLst>
        <ext uri="GoogleSheetsCustomDataVersion1">
          <go:sheetsCustomData xmlns:go="http://customooxmlschemas.google.com/" filterViewId="1879702675"/>
        </ext>
      </extLst>
    </customSheetView>
    <customSheetView guid="{4E5EDA9F-A36F-445A-886D-3EEAB87FECC8}" filter="1" showAutoFilter="1">
      <pageMargins left="0.7" right="0.7" top="0.75" bottom="0.75" header="0.3" footer="0.3"/>
      <autoFilter ref="A49:M187" xr:uid="{D80420B2-5CCB-418C-9391-C3E912B275AD}"/>
      <extLst>
        <ext uri="GoogleSheetsCustomDataVersion1">
          <go:sheetsCustomData xmlns:go="http://customooxmlschemas.google.com/" filterViewId="185919351"/>
        </ext>
      </extLst>
    </customSheetView>
    <customSheetView guid="{1A78E216-AD46-44A0-9060-262F73619572}" filter="1" showAutoFilter="1">
      <pageMargins left="0.7" right="0.7" top="0.75" bottom="0.75" header="0.3" footer="0.3"/>
      <autoFilter ref="A49:I220" xr:uid="{E0E5A922-EF2E-4D57-8385-ABF3D7E16418}"/>
      <extLst>
        <ext uri="GoogleSheetsCustomDataVersion1">
          <go:sheetsCustomData xmlns:go="http://customooxmlschemas.google.com/" filterViewId="1837248367"/>
        </ext>
      </extLst>
    </customSheetView>
    <customSheetView guid="{CBE06436-1786-4100-8240-33A03D6341BB}" filter="1" showAutoFilter="1">
      <pageMargins left="0.7" right="0.7" top="0.75" bottom="0.75" header="0.3" footer="0.3"/>
      <autoFilter ref="A1:V220" xr:uid="{535A2C35-FAB1-4DAD-8FCE-A3489937FB61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1832344893"/>
        </ext>
      </extLst>
    </customSheetView>
    <customSheetView guid="{3CF00FDE-7551-417F-A3B7-071FB8CAD5A6}" filter="1" showAutoFilter="1">
      <pageMargins left="0.7" right="0.7" top="0.75" bottom="0.75" header="0.3" footer="0.3"/>
      <autoFilter ref="A49:I220" xr:uid="{AB7799B7-E734-4659-B23B-E029A0729F70}"/>
      <extLst>
        <ext uri="GoogleSheetsCustomDataVersion1">
          <go:sheetsCustomData xmlns:go="http://customooxmlschemas.google.com/" filterViewId="1801369949"/>
        </ext>
      </extLst>
    </customSheetView>
    <customSheetView guid="{D84CEC73-EE9D-4C60-BD3C-7ADE6B8942A3}" filter="1" showAutoFilter="1">
      <pageMargins left="0.7" right="0.7" top="0.75" bottom="0.75" header="0.3" footer="0.3"/>
      <autoFilter ref="A2:O220" xr:uid="{592453CB-0D5A-41C8-B708-6B966987A7F2}"/>
      <extLst>
        <ext uri="GoogleSheetsCustomDataVersion1">
          <go:sheetsCustomData xmlns:go="http://customooxmlschemas.google.com/" filterViewId="1797673786"/>
        </ext>
      </extLst>
    </customSheetView>
    <customSheetView guid="{21D3ABEC-E9B8-4B9E-B21F-3A1E35E59296}" filter="1" showAutoFilter="1">
      <pageMargins left="0.7" right="0.7" top="0.75" bottom="0.75" header="0.3" footer="0.3"/>
      <autoFilter ref="A2:O220" xr:uid="{8D414EB3-DC47-458B-851B-8D93D2A47CA4}"/>
      <extLst>
        <ext uri="GoogleSheetsCustomDataVersion1">
          <go:sheetsCustomData xmlns:go="http://customooxmlschemas.google.com/" filterViewId="1781507866"/>
        </ext>
      </extLst>
    </customSheetView>
    <customSheetView guid="{C2A4986B-5443-45E6-8E03-D7BBADA51C58}" filter="1" showAutoFilter="1">
      <pageMargins left="0.7" right="0.7" top="0.75" bottom="0.75" header="0.3" footer="0.3"/>
      <autoFilter ref="A1:V220" xr:uid="{7DD44A55-A4C7-40ED-BEC1-0E4CC5F7C0CC}"/>
      <extLst>
        <ext uri="GoogleSheetsCustomDataVersion1">
          <go:sheetsCustomData xmlns:go="http://customooxmlschemas.google.com/" filterViewId="1767692522"/>
        </ext>
      </extLst>
    </customSheetView>
    <customSheetView guid="{D032A9DB-4E25-40E7-ADF5-F6638E51FAFB}" filter="1" showAutoFilter="1">
      <pageMargins left="0.7" right="0.7" top="0.75" bottom="0.75" header="0.3" footer="0.3"/>
      <autoFilter ref="A49:M220" xr:uid="{7D59762E-EF21-4E51-B9DC-02D3C065030D}"/>
      <extLst>
        <ext uri="GoogleSheetsCustomDataVersion1">
          <go:sheetsCustomData xmlns:go="http://customooxmlschemas.google.com/" filterViewId="1734251948"/>
        </ext>
      </extLst>
    </customSheetView>
    <customSheetView guid="{C6442E6F-776E-4212-847E-94DFDDF97E9C}" filter="1" showAutoFilter="1">
      <pageMargins left="0.7" right="0.7" top="0.75" bottom="0.75" header="0.3" footer="0.3"/>
      <autoFilter ref="A49:AA220" xr:uid="{408B084F-93E9-4899-B96F-0A1B54482258}"/>
      <extLst>
        <ext uri="GoogleSheetsCustomDataVersion1">
          <go:sheetsCustomData xmlns:go="http://customooxmlschemas.google.com/" filterViewId="1716615567"/>
        </ext>
      </extLst>
    </customSheetView>
    <customSheetView guid="{636C691A-F644-47E2-8555-F838B7CB08FD}" filter="1" showAutoFilter="1">
      <pageMargins left="0.7" right="0.7" top="0.75" bottom="0.75" header="0.3" footer="0.3"/>
      <autoFilter ref="A49:AA220" xr:uid="{BEB07BCD-FDD8-4271-A022-45EFEDABE6F2}"/>
      <extLst>
        <ext uri="GoogleSheetsCustomDataVersion1">
          <go:sheetsCustomData xmlns:go="http://customooxmlschemas.google.com/" filterViewId="1709642649"/>
        </ext>
      </extLst>
    </customSheetView>
    <customSheetView guid="{D64303A7-008D-42DE-93C7-A25CF311B806}" filter="1" showAutoFilter="1">
      <pageMargins left="0.7" right="0.7" top="0.75" bottom="0.75" header="0.3" footer="0.3"/>
      <autoFilter ref="A2:O220" xr:uid="{68823BBC-0629-492B-9C11-FD003E35BF83}"/>
      <extLst>
        <ext uri="GoogleSheetsCustomDataVersion1">
          <go:sheetsCustomData xmlns:go="http://customooxmlschemas.google.com/" filterViewId="1708648800"/>
        </ext>
      </extLst>
    </customSheetView>
    <customSheetView guid="{D244C322-20DC-49ED-91F3-CD1DE6B82879}" filter="1" showAutoFilter="1">
      <pageMargins left="0.7" right="0.7" top="0.75" bottom="0.75" header="0.3" footer="0.3"/>
      <autoFilter ref="A49:I220" xr:uid="{AE07912C-9B65-4810-AF20-C0E553366329}"/>
      <extLst>
        <ext uri="GoogleSheetsCustomDataVersion1">
          <go:sheetsCustomData xmlns:go="http://customooxmlschemas.google.com/" filterViewId="1679218736"/>
        </ext>
      </extLst>
    </customSheetView>
    <customSheetView guid="{C45F2CFE-D13D-411A-9969-62D37A4E659F}" filter="1" showAutoFilter="1">
      <pageMargins left="0.7" right="0.7" top="0.75" bottom="0.75" header="0.3" footer="0.3"/>
      <autoFilter ref="A49:M220" xr:uid="{826A4028-FBA0-492B-9A61-35673E61D1D6}"/>
      <extLst>
        <ext uri="GoogleSheetsCustomDataVersion1">
          <go:sheetsCustomData xmlns:go="http://customooxmlschemas.google.com/" filterViewId="1649622973"/>
        </ext>
      </extLst>
    </customSheetView>
    <customSheetView guid="{9CEF5B33-7819-45EA-942F-F973A16B062D}" filter="1" showAutoFilter="1">
      <pageMargins left="0.7" right="0.7" top="0.75" bottom="0.75" header="0.3" footer="0.3"/>
      <autoFilter ref="A49:I220" xr:uid="{B2F3EFCA-C8E9-4421-81C6-987FF4752E9A}"/>
      <extLst>
        <ext uri="GoogleSheetsCustomDataVersion1">
          <go:sheetsCustomData xmlns:go="http://customooxmlschemas.google.com/" filterViewId="1636123639"/>
        </ext>
      </extLst>
    </customSheetView>
    <customSheetView guid="{7B675507-1C76-4C97-874C-76A779B09CAB}" filter="1" showAutoFilter="1">
      <pageMargins left="0.7" right="0.7" top="0.75" bottom="0.75" header="0.3" footer="0.3"/>
      <autoFilter ref="A49:O220" xr:uid="{CA81E5B0-8D88-408C-8EDC-0496B1F1305B}"/>
      <extLst>
        <ext uri="GoogleSheetsCustomDataVersion1">
          <go:sheetsCustomData xmlns:go="http://customooxmlschemas.google.com/" filterViewId="1622507013"/>
        </ext>
      </extLst>
    </customSheetView>
    <customSheetView guid="{B4306AB6-087F-4D43-854C-29674B567631}" filter="1" showAutoFilter="1">
      <pageMargins left="0.7" right="0.7" top="0.75" bottom="0.75" header="0.3" footer="0.3"/>
      <autoFilter ref="A49:V220" xr:uid="{CF300AC8-8CDD-42CE-A4A4-BB13E4F7C3D0}"/>
      <extLst>
        <ext uri="GoogleSheetsCustomDataVersion1">
          <go:sheetsCustomData xmlns:go="http://customooxmlschemas.google.com/" filterViewId="1596391296"/>
        </ext>
      </extLst>
    </customSheetView>
    <customSheetView guid="{1187F710-8C93-4B53-A6DF-7457530643E4}" filter="1" showAutoFilter="1">
      <pageMargins left="0.7" right="0.7" top="0.75" bottom="0.75" header="0.3" footer="0.3"/>
      <autoFilter ref="A49:M220" xr:uid="{CB6016A8-D47D-4AFA-9504-2D8608B2C099}"/>
      <extLst>
        <ext uri="GoogleSheetsCustomDataVersion1">
          <go:sheetsCustomData xmlns:go="http://customooxmlschemas.google.com/" filterViewId="15636484"/>
        </ext>
      </extLst>
    </customSheetView>
    <customSheetView guid="{C70E7553-7B63-426F-B13E-9BC43B57B462}" filter="1" showAutoFilter="1">
      <pageMargins left="0.7" right="0.7" top="0.75" bottom="0.75" header="0.3" footer="0.3"/>
      <autoFilter ref="A1:I220" xr:uid="{6651E86F-3DFC-4016-96D2-E3139A198EAA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1562543755"/>
        </ext>
      </extLst>
    </customSheetView>
    <customSheetView guid="{B5E4F1A3-A1CE-4A78-A686-68FB57442A81}" filter="1" showAutoFilter="1">
      <pageMargins left="0.7" right="0.7" top="0.75" bottom="0.75" header="0.3" footer="0.3"/>
      <autoFilter ref="A1:V220" xr:uid="{FF9FA3C7-26DC-4741-964F-D2F5D9D68D43}"/>
      <extLst>
        <ext uri="GoogleSheetsCustomDataVersion1">
          <go:sheetsCustomData xmlns:go="http://customooxmlschemas.google.com/" filterViewId="1562338037"/>
        </ext>
      </extLst>
    </customSheetView>
    <customSheetView guid="{399CA99F-CCAB-41B7-A86F-4A8915850AD8}" filter="1" showAutoFilter="1">
      <pageMargins left="0.7" right="0.7" top="0.75" bottom="0.75" header="0.3" footer="0.3"/>
      <autoFilter ref="K1:L220" xr:uid="{33463281-351F-4E21-9A62-469023864E9C}"/>
      <extLst>
        <ext uri="GoogleSheetsCustomDataVersion1">
          <go:sheetsCustomData xmlns:go="http://customooxmlschemas.google.com/" filterViewId="1539962931"/>
        </ext>
      </extLst>
    </customSheetView>
    <customSheetView guid="{D01923C6-A7EE-408C-833F-D29461704E70}" filter="1" showAutoFilter="1">
      <pageMargins left="0.7" right="0.7" top="0.75" bottom="0.75" header="0.3" footer="0.3"/>
      <autoFilter ref="P220" xr:uid="{F70BF84E-75C8-4A87-B51D-94680F403BCB}"/>
      <extLst>
        <ext uri="GoogleSheetsCustomDataVersion1">
          <go:sheetsCustomData xmlns:go="http://customooxmlschemas.google.com/" filterViewId="1520596067"/>
        </ext>
      </extLst>
    </customSheetView>
    <customSheetView guid="{0D6C0055-A8FD-46C4-B2B7-CE5CC0B77CA1}" filter="1" showAutoFilter="1">
      <pageMargins left="0.7" right="0.7" top="0.75" bottom="0.75" header="0.3" footer="0.3"/>
      <autoFilter ref="A49:V220" xr:uid="{A5C52818-D0AC-4899-9330-82C894AE4E58}"/>
      <extLst>
        <ext uri="GoogleSheetsCustomDataVersion1">
          <go:sheetsCustomData xmlns:go="http://customooxmlschemas.google.com/" filterViewId="1515271626"/>
        </ext>
      </extLst>
    </customSheetView>
    <customSheetView guid="{1E107AD8-4A76-44CE-A9E1-AC0B663F3D7A}" filter="1" showAutoFilter="1">
      <pageMargins left="0.7" right="0.7" top="0.75" bottom="0.75" header="0.3" footer="0.3"/>
      <autoFilter ref="A49:M220" xr:uid="{A22237F6-8524-4E6C-A806-827D31D44758}"/>
      <extLst>
        <ext uri="GoogleSheetsCustomDataVersion1">
          <go:sheetsCustomData xmlns:go="http://customooxmlschemas.google.com/" filterViewId="1512304757"/>
        </ext>
      </extLst>
    </customSheetView>
    <customSheetView guid="{75DACD84-E730-4FC8-9D84-6613B9F79DE4}" filter="1" showAutoFilter="1">
      <pageMargins left="0.7" right="0.7" top="0.75" bottom="0.75" header="0.3" footer="0.3"/>
      <autoFilter ref="A49:I220" xr:uid="{D48E9009-1E60-4C4E-A68B-BF3C4718BE67}"/>
      <extLst>
        <ext uri="GoogleSheetsCustomDataVersion1">
          <go:sheetsCustomData xmlns:go="http://customooxmlschemas.google.com/" filterViewId="1509262231"/>
        </ext>
      </extLst>
    </customSheetView>
    <customSheetView guid="{E420F5C5-FA1C-45D4-85B1-40E41CD771D9}" filter="1" showAutoFilter="1">
      <pageMargins left="0.7" right="0.7" top="0.75" bottom="0.75" header="0.3" footer="0.3"/>
      <autoFilter ref="A49:J220" xr:uid="{FE566B1B-6BAA-4510-B2EA-AB9745A695CA}"/>
      <extLst>
        <ext uri="GoogleSheetsCustomDataVersion1">
          <go:sheetsCustomData xmlns:go="http://customooxmlschemas.google.com/" filterViewId="1485606563"/>
        </ext>
      </extLst>
    </customSheetView>
    <customSheetView guid="{BB3A72A8-536B-4CEE-983B-3B1064B08189}" filter="1" showAutoFilter="1">
      <pageMargins left="0.7" right="0.7" top="0.75" bottom="0.75" header="0.3" footer="0.3"/>
      <autoFilter ref="M49:M53" xr:uid="{84F94B43-9EB3-4A2F-BF48-4E971AD9A0E0}"/>
      <extLst>
        <ext uri="GoogleSheetsCustomDataVersion1">
          <go:sheetsCustomData xmlns:go="http://customooxmlschemas.google.com/" filterViewId="1473432893"/>
        </ext>
      </extLst>
    </customSheetView>
    <customSheetView guid="{E04BCF6F-DFDA-4386-A429-D8C54A0A8221}" filter="1" showAutoFilter="1">
      <pageMargins left="0.7" right="0.7" top="0.75" bottom="0.75" header="0.3" footer="0.3"/>
      <autoFilter ref="A49:I220" xr:uid="{D19D626C-C183-48E9-9694-E700EBB4F945}"/>
      <extLst>
        <ext uri="GoogleSheetsCustomDataVersion1">
          <go:sheetsCustomData xmlns:go="http://customooxmlschemas.google.com/" filterViewId="1472326179"/>
        </ext>
      </extLst>
    </customSheetView>
    <customSheetView guid="{D8B6EA5F-A187-41FE-BB79-4E0A24DC82A6}" filter="1" showAutoFilter="1">
      <pageMargins left="0.7" right="0.7" top="0.75" bottom="0.75" header="0.3" footer="0.3"/>
      <autoFilter ref="A1:V220" xr:uid="{0E726696-E29E-444B-B09E-2D327C26D885}"/>
      <extLst>
        <ext uri="GoogleSheetsCustomDataVersion1">
          <go:sheetsCustomData xmlns:go="http://customooxmlschemas.google.com/" filterViewId="1472013984"/>
        </ext>
      </extLst>
    </customSheetView>
    <customSheetView guid="{4693FF95-89F1-49D1-A143-D590B5504BB9}" filter="1" showAutoFilter="1">
      <pageMargins left="0.7" right="0.7" top="0.75" bottom="0.75" header="0.3" footer="0.3"/>
      <autoFilter ref="A1:V220" xr:uid="{3DFC4265-D1B9-4398-B39B-15B824F4AC3A}">
        <filterColumn colId="1">
          <filters>
            <filter val="Listado de Incidencias de la Revisión Funcional y Técnicas - Sistema GESTIÓN DE UBIGEO"/>
          </filters>
        </filterColumn>
        <filterColumn colId="5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1468966608"/>
        </ext>
      </extLst>
    </customSheetView>
    <customSheetView guid="{415177D4-69C6-49B2-AC44-16824A0261AD}" filter="1" showAutoFilter="1">
      <pageMargins left="0.7" right="0.7" top="0.75" bottom="0.75" header="0.3" footer="0.3"/>
      <autoFilter ref="A1:I220" xr:uid="{18D26008-A2CB-4180-988E-44AB0CC58883}"/>
      <extLst>
        <ext uri="GoogleSheetsCustomDataVersion1">
          <go:sheetsCustomData xmlns:go="http://customooxmlschemas.google.com/" filterViewId="1435192497"/>
        </ext>
      </extLst>
    </customSheetView>
    <customSheetView guid="{F5B0A4A1-1151-497C-8044-D5F67182BB6B}" filter="1" showAutoFilter="1">
      <pageMargins left="0.7" right="0.7" top="0.75" bottom="0.75" header="0.3" footer="0.3"/>
      <autoFilter ref="B57:B220" xr:uid="{468ABC99-CDE7-4826-89A3-2DBE81504BC9}"/>
      <extLst>
        <ext uri="GoogleSheetsCustomDataVersion1">
          <go:sheetsCustomData xmlns:go="http://customooxmlschemas.google.com/" filterViewId="1433341409"/>
        </ext>
      </extLst>
    </customSheetView>
    <customSheetView guid="{35895A84-4FC6-4B15-A2A8-F8E79622C3D5}" filter="1" showAutoFilter="1">
      <pageMargins left="0.7" right="0.7" top="0.75" bottom="0.75" header="0.3" footer="0.3"/>
      <autoFilter ref="A1:V220" xr:uid="{D746B5AC-96A1-4705-BD3D-B7F05D7AE434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1424353979"/>
        </ext>
      </extLst>
    </customSheetView>
    <customSheetView guid="{207366EA-06E5-4A7A-A8D5-930D94B44938}" filter="1" showAutoFilter="1">
      <pageMargins left="0.7" right="0.7" top="0.75" bottom="0.75" header="0.3" footer="0.3"/>
      <autoFilter ref="A1:V220" xr:uid="{76F81AC6-7DE2-447F-ABDE-125D081FFBE8}"/>
      <extLst>
        <ext uri="GoogleSheetsCustomDataVersion1">
          <go:sheetsCustomData xmlns:go="http://customooxmlschemas.google.com/" filterViewId="1415388224"/>
        </ext>
      </extLst>
    </customSheetView>
    <customSheetView guid="{C798109D-4604-4BCB-A03A-1A0B5730EEEA}" filter="1" showAutoFilter="1">
      <pageMargins left="0.7" right="0.7" top="0.75" bottom="0.75" header="0.3" footer="0.3"/>
      <autoFilter ref="A1:I220" xr:uid="{3FB3C41A-EEA0-440D-AB8D-3010DC91B72A}"/>
      <extLst>
        <ext uri="GoogleSheetsCustomDataVersion1">
          <go:sheetsCustomData xmlns:go="http://customooxmlschemas.google.com/" filterViewId="1409559527"/>
        </ext>
      </extLst>
    </customSheetView>
    <customSheetView guid="{AE630A8F-EC20-43C5-8552-981385AA5F99}" filter="1" showAutoFilter="1">
      <pageMargins left="0.7" right="0.7" top="0.75" bottom="0.75" header="0.3" footer="0.3"/>
      <autoFilter ref="A49:M220" xr:uid="{FDEA0057-2F8A-4A88-9BC8-EB972E199B65}"/>
      <extLst>
        <ext uri="GoogleSheetsCustomDataVersion1">
          <go:sheetsCustomData xmlns:go="http://customooxmlschemas.google.com/" filterViewId="1403176320"/>
        </ext>
      </extLst>
    </customSheetView>
    <customSheetView guid="{BF854CA7-F810-481B-96CA-127EB201C988}" filter="1" showAutoFilter="1">
      <pageMargins left="0.7" right="0.7" top="0.75" bottom="0.75" header="0.3" footer="0.3"/>
      <autoFilter ref="A2:O220" xr:uid="{EB5B6517-DB35-45E7-B2F1-489FCDC6C725}"/>
      <extLst>
        <ext uri="GoogleSheetsCustomDataVersion1">
          <go:sheetsCustomData xmlns:go="http://customooxmlschemas.google.com/" filterViewId="1398506678"/>
        </ext>
      </extLst>
    </customSheetView>
    <customSheetView guid="{16F4301D-B836-42F7-8020-2803956B914A}" filter="1" showAutoFilter="1">
      <pageMargins left="0.7" right="0.7" top="0.75" bottom="0.75" header="0.3" footer="0.3"/>
      <autoFilter ref="A49:I220" xr:uid="{DBD7DF66-3E1B-415D-A775-91C0901EFA71}"/>
      <extLst>
        <ext uri="GoogleSheetsCustomDataVersion1">
          <go:sheetsCustomData xmlns:go="http://customooxmlschemas.google.com/" filterViewId="1393621529"/>
        </ext>
      </extLst>
    </customSheetView>
    <customSheetView guid="{F56FB6B3-F666-4AA5-BA7D-7DC37E308C2C}" filter="1" showAutoFilter="1">
      <pageMargins left="0.7" right="0.7" top="0.75" bottom="0.75" header="0.3" footer="0.3"/>
      <autoFilter ref="A49:M220" xr:uid="{7EA81E89-35BE-4BCA-9927-D28D5A5B9D5A}"/>
      <extLst>
        <ext uri="GoogleSheetsCustomDataVersion1">
          <go:sheetsCustomData xmlns:go="http://customooxmlschemas.google.com/" filterViewId="137444192"/>
        </ext>
      </extLst>
    </customSheetView>
    <customSheetView guid="{CC605D33-8F51-41B7-B31E-1B663A0C1CB8}" filter="1" showAutoFilter="1">
      <pageMargins left="0.7" right="0.7" top="0.75" bottom="0.75" header="0.3" footer="0.3"/>
      <autoFilter ref="A49:U220" xr:uid="{4C3FCD71-FB72-42F1-AD16-D8D647E2DC20}"/>
      <extLst>
        <ext uri="GoogleSheetsCustomDataVersion1">
          <go:sheetsCustomData xmlns:go="http://customooxmlschemas.google.com/" filterViewId="1373548850"/>
        </ext>
      </extLst>
    </customSheetView>
    <customSheetView guid="{16E4E86E-1438-468A-A344-51769E38771E}" filter="1" showAutoFilter="1">
      <pageMargins left="0.7" right="0.7" top="0.75" bottom="0.75" header="0.3" footer="0.3"/>
      <autoFilter ref="A49:V220" xr:uid="{970F129F-3F33-4425-838B-921A921293B1}"/>
      <extLst>
        <ext uri="GoogleSheetsCustomDataVersion1">
          <go:sheetsCustomData xmlns:go="http://customooxmlschemas.google.com/" filterViewId="1372234398"/>
        </ext>
      </extLst>
    </customSheetView>
    <customSheetView guid="{664F371B-425E-46AA-A6B6-0A01DAFDE9D6}" filter="1" showAutoFilter="1">
      <pageMargins left="0.7" right="0.7" top="0.75" bottom="0.75" header="0.3" footer="0.3"/>
      <autoFilter ref="A1:V220" xr:uid="{99A5A0CD-25B2-49DF-83B8-FC4796926656}"/>
      <extLst>
        <ext uri="GoogleSheetsCustomDataVersion1">
          <go:sheetsCustomData xmlns:go="http://customooxmlschemas.google.com/" filterViewId="1351437167"/>
        </ext>
      </extLst>
    </customSheetView>
    <customSheetView guid="{AF9F4FD4-CE6A-484A-BC37-B88B387A0E76}" filter="1" showAutoFilter="1">
      <pageMargins left="0.7" right="0.7" top="0.75" bottom="0.75" header="0.3" footer="0.3"/>
      <autoFilter ref="A49:I220" xr:uid="{F36F4D2E-1ADE-4CFC-8DBF-532A052352E8}"/>
      <extLst>
        <ext uri="GoogleSheetsCustomDataVersion1">
          <go:sheetsCustomData xmlns:go="http://customooxmlschemas.google.com/" filterViewId="1346823472"/>
        </ext>
      </extLst>
    </customSheetView>
    <customSheetView guid="{181AD504-66D9-4767-A682-83F62E4814B8}" filter="1" showAutoFilter="1">
      <pageMargins left="0.7" right="0.7" top="0.75" bottom="0.75" header="0.3" footer="0.3"/>
      <autoFilter ref="A49:U220" xr:uid="{31E04097-654B-461C-9E88-C15C7BDF29EC}"/>
      <extLst>
        <ext uri="GoogleSheetsCustomDataVersion1">
          <go:sheetsCustomData xmlns:go="http://customooxmlschemas.google.com/" filterViewId="1293281027"/>
        </ext>
      </extLst>
    </customSheetView>
    <customSheetView guid="{7268DF11-EDD6-4B5B-BEC2-3DBDCD87AE74}" filter="1" showAutoFilter="1">
      <pageMargins left="0.7" right="0.7" top="0.75" bottom="0.75" header="0.3" footer="0.3"/>
      <autoFilter ref="X53" xr:uid="{D90413BE-A04A-43F0-BBB0-74BE73A2E64B}"/>
      <extLst>
        <ext uri="GoogleSheetsCustomDataVersion1">
          <go:sheetsCustomData xmlns:go="http://customooxmlschemas.google.com/" filterViewId="1285633499"/>
        </ext>
      </extLst>
    </customSheetView>
    <customSheetView guid="{14B5872E-AC42-46F2-A978-C2125F6F2A00}" filter="1" showAutoFilter="1">
      <pageMargins left="0.7" right="0.7" top="0.75" bottom="0.75" header="0.3" footer="0.3"/>
      <autoFilter ref="A49:I220" xr:uid="{C303679A-9967-4CD1-9C40-64F372CFAB5A}"/>
      <extLst>
        <ext uri="GoogleSheetsCustomDataVersion1">
          <go:sheetsCustomData xmlns:go="http://customooxmlschemas.google.com/" filterViewId="1284504539"/>
        </ext>
      </extLst>
    </customSheetView>
    <customSheetView guid="{8C3FD059-87C2-4AB8-A9B1-8503339D2B25}" filter="1" showAutoFilter="1">
      <pageMargins left="0.7" right="0.7" top="0.75" bottom="0.75" header="0.3" footer="0.3"/>
      <autoFilter ref="A1:V220" xr:uid="{C383B10D-1FF5-4EC8-A09D-3959E66970D0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1250005300"/>
        </ext>
      </extLst>
    </customSheetView>
    <customSheetView guid="{276671E9-83F3-4274-8123-98123DFEA35E}" filter="1" showAutoFilter="1">
      <pageMargins left="0.7" right="0.7" top="0.75" bottom="0.75" header="0.3" footer="0.3"/>
      <autoFilter ref="A1:V220" xr:uid="{D5513340-7DAE-4769-9F03-F94CBB6BBBC4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1221110510"/>
        </ext>
      </extLst>
    </customSheetView>
    <customSheetView guid="{B29F5A3D-C1CC-4C01-9094-3ED83635FF7A}" filter="1" showAutoFilter="1">
      <pageMargins left="0.7" right="0.7" top="0.75" bottom="0.75" header="0.3" footer="0.3"/>
      <autoFilter ref="P49:P220" xr:uid="{740C4858-DA83-4555-A9FF-75C66D373FD1}"/>
      <extLst>
        <ext uri="GoogleSheetsCustomDataVersion1">
          <go:sheetsCustomData xmlns:go="http://customooxmlschemas.google.com/" filterViewId="1207297510"/>
        </ext>
      </extLst>
    </customSheetView>
    <customSheetView guid="{A6288929-3BB3-40B5-902C-6E713599D7AE}" filter="1" showAutoFilter="1">
      <pageMargins left="0.7" right="0.7" top="0.75" bottom="0.75" header="0.3" footer="0.3"/>
      <autoFilter ref="A1:I220" xr:uid="{E4DBFE1D-3BB8-4C7A-80AF-84549C575B29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1199576961"/>
        </ext>
      </extLst>
    </customSheetView>
    <customSheetView guid="{7072D0E9-A8EB-4832-9DAA-09BCD4B1F142}" filter="1" showAutoFilter="1">
      <pageMargins left="0.7" right="0.7" top="0.75" bottom="0.75" header="0.3" footer="0.3"/>
      <autoFilter ref="A49:U220" xr:uid="{4A91C2DB-BF68-4378-8039-550A7A43999A}"/>
      <extLst>
        <ext uri="GoogleSheetsCustomDataVersion1">
          <go:sheetsCustomData xmlns:go="http://customooxmlschemas.google.com/" filterViewId="1196446551"/>
        </ext>
      </extLst>
    </customSheetView>
    <customSheetView guid="{15081274-07BD-4195-B8A0-FEF6F2D55112}" filter="1" showAutoFilter="1">
      <pageMargins left="0.7" right="0.7" top="0.75" bottom="0.75" header="0.3" footer="0.3"/>
      <autoFilter ref="Q49:V50" xr:uid="{83EA016D-F08C-4259-8CF3-E5C04CCBB646}"/>
      <extLst>
        <ext uri="GoogleSheetsCustomDataVersion1">
          <go:sheetsCustomData xmlns:go="http://customooxmlschemas.google.com/" filterViewId="1150789596"/>
        </ext>
      </extLst>
    </customSheetView>
    <customSheetView guid="{031DCFBF-D9DE-47C6-9728-A245B3E32D0E}" filter="1" showAutoFilter="1">
      <pageMargins left="0.7" right="0.7" top="0.75" bottom="0.75" header="0.3" footer="0.3"/>
      <autoFilter ref="A49:AA220" xr:uid="{CB1140CC-2278-4E00-A310-DC120E0BFA6F}"/>
      <extLst>
        <ext uri="GoogleSheetsCustomDataVersion1">
          <go:sheetsCustomData xmlns:go="http://customooxmlschemas.google.com/" filterViewId="1149286130"/>
        </ext>
      </extLst>
    </customSheetView>
    <customSheetView guid="{1012F98C-3763-4EDE-B5D5-20FE546E5D46}" filter="1" showAutoFilter="1">
      <pageMargins left="0.7" right="0.7" top="0.75" bottom="0.75" header="0.3" footer="0.3"/>
      <autoFilter ref="A49:I220" xr:uid="{61DECB8E-FAEF-4DD4-94FD-B6049A2FC874}"/>
      <extLst>
        <ext uri="GoogleSheetsCustomDataVersion1">
          <go:sheetsCustomData xmlns:go="http://customooxmlschemas.google.com/" filterViewId="1132069515"/>
        </ext>
      </extLst>
    </customSheetView>
    <customSheetView guid="{114F6802-2197-4322-B73A-0FC23C08550B}" filter="1" showAutoFilter="1">
      <pageMargins left="0.7" right="0.7" top="0.75" bottom="0.75" header="0.3" footer="0.3"/>
      <autoFilter ref="A49:M220" xr:uid="{53D1B928-F6F8-4DCA-AAAD-0075B72EC161}"/>
      <extLst>
        <ext uri="GoogleSheetsCustomDataVersion1">
          <go:sheetsCustomData xmlns:go="http://customooxmlschemas.google.com/" filterViewId="1129482273"/>
        </ext>
      </extLst>
    </customSheetView>
    <customSheetView guid="{5371A75B-87E1-4B09-A057-556485EA8892}" filter="1" showAutoFilter="1">
      <pageMargins left="0.7" right="0.7" top="0.75" bottom="0.75" header="0.3" footer="0.3"/>
      <autoFilter ref="A49:I220" xr:uid="{A855C1C0-17F2-45FE-8976-852FF442FC49}"/>
      <extLst>
        <ext uri="GoogleSheetsCustomDataVersion1">
          <go:sheetsCustomData xmlns:go="http://customooxmlschemas.google.com/" filterViewId="1097458951"/>
        </ext>
      </extLst>
    </customSheetView>
    <customSheetView guid="{26BE083E-F813-43CD-8080-176AC71EC6B1}" filter="1" showAutoFilter="1">
      <pageMargins left="0.7" right="0.7" top="0.75" bottom="0.75" header="0.3" footer="0.3"/>
      <autoFilter ref="A1:I170" xr:uid="{9F670A04-8029-4AB5-A41F-5A5F0182BE27}">
        <filterColumn colId="1">
          <filters>
            <filter val="Listado de Incidencias de la Revisión Funcional y Técnicas - Sistema GESTIÓN DE UBIGEO"/>
          </filters>
        </filterColumn>
      </autoFilter>
      <extLst>
        <ext uri="GoogleSheetsCustomDataVersion1">
          <go:sheetsCustomData xmlns:go="http://customooxmlschemas.google.com/" filterViewId="1089453212"/>
        </ext>
      </extLst>
    </customSheetView>
    <customSheetView guid="{F104EDCA-16C9-4782-BD8E-4BA1260CBFFE}" filter="1" showAutoFilter="1">
      <pageMargins left="0.7" right="0.7" top="0.75" bottom="0.75" header="0.3" footer="0.3"/>
      <autoFilter ref="A2:O220" xr:uid="{57080F0C-8E16-4A0B-90D5-E193CC8E7739}"/>
      <extLst>
        <ext uri="GoogleSheetsCustomDataVersion1">
          <go:sheetsCustomData xmlns:go="http://customooxmlschemas.google.com/" filterViewId="1082326745"/>
        </ext>
      </extLst>
    </customSheetView>
    <customSheetView guid="{995C7FF4-C7C2-4A76-ADCF-BBE4ED920ED4}" filter="1" showAutoFilter="1">
      <pageMargins left="0.7" right="0.7" top="0.75" bottom="0.75" header="0.3" footer="0.3"/>
      <autoFilter ref="A1:I220" xr:uid="{DD77EB41-CAF7-4928-A95B-BDA1E8ECF5C6}"/>
      <extLst>
        <ext uri="GoogleSheetsCustomDataVersion1">
          <go:sheetsCustomData xmlns:go="http://customooxmlschemas.google.com/" filterViewId="1066334342"/>
        </ext>
      </extLst>
    </customSheetView>
    <customSheetView guid="{78CA7D74-30CA-41F1-880F-D684FB45076B}" filter="1" showAutoFilter="1">
      <pageMargins left="0.7" right="0.7" top="0.75" bottom="0.75" header="0.3" footer="0.3"/>
      <autoFilter ref="B57:B220" xr:uid="{9A69BC6D-ADD8-4E8C-83F7-9843941F61EB}"/>
      <extLst>
        <ext uri="GoogleSheetsCustomDataVersion1">
          <go:sheetsCustomData xmlns:go="http://customooxmlschemas.google.com/" filterViewId="103998665"/>
        </ext>
      </extLst>
    </customSheetView>
    <customSheetView guid="{3118B097-E2D5-4853-9ECC-4F918F82032A}" filter="1" showAutoFilter="1">
      <pageMargins left="0.7" right="0.7" top="0.75" bottom="0.75" header="0.3" footer="0.3"/>
      <autoFilter ref="K1:L220" xr:uid="{AA8E6460-DE57-484E-A384-3AF797113855}"/>
      <extLst>
        <ext uri="GoogleSheetsCustomDataVersion1">
          <go:sheetsCustomData xmlns:go="http://customooxmlschemas.google.com/" filterViewId="102679081"/>
        </ext>
      </extLst>
    </customSheetView>
    <customSheetView guid="{7B5A7FEB-38C1-498D-A92D-CA397ABBAD58}" filter="1" showAutoFilter="1">
      <pageMargins left="0.7" right="0.7" top="0.75" bottom="0.75" header="0.3" footer="0.3"/>
      <autoFilter ref="A49:O220" xr:uid="{B156A6DE-1C45-420C-9B25-116488F2F28C}"/>
      <extLst>
        <ext uri="GoogleSheetsCustomDataVersion1">
          <go:sheetsCustomData xmlns:go="http://customooxmlschemas.google.com/" filterViewId="101112002"/>
        </ext>
      </extLst>
    </customSheetView>
    <customSheetView guid="{CE3CA79F-69BA-4F2C-8654-49489E9F990B}" filter="1" showAutoFilter="1">
      <pageMargins left="0.7" right="0.7" top="0.75" bottom="0.75" header="0.3" footer="0.3"/>
      <autoFilter ref="A49:U220" xr:uid="{83CE044D-EC09-4511-8AAB-209E0F1842FE}"/>
      <extLst>
        <ext uri="GoogleSheetsCustomDataVersion1">
          <go:sheetsCustomData xmlns:go="http://customooxmlschemas.google.com/" filterViewId="1002268913"/>
        </ext>
      </extLst>
    </customSheetView>
    <customSheetView guid="{0664A433-8342-47CF-996F-52A146D92FFA}" filter="1" showAutoFilter="1">
      <pageMargins left="0.7" right="0.7" top="0.75" bottom="0.75" header="0.3" footer="0.3"/>
      <autoFilter ref="A2:O220" xr:uid="{252BB9D8-C415-467B-B257-75AB5D25E553}"/>
      <extLst>
        <ext uri="GoogleSheetsCustomDataVersion1">
          <go:sheetsCustomData xmlns:go="http://customooxmlschemas.google.com/" filterViewId="1000674942"/>
        </ext>
      </extLst>
    </customSheetView>
  </customSheetViews>
  <mergeCells count="13">
    <mergeCell ref="C25:G25"/>
    <mergeCell ref="C17:G17"/>
    <mergeCell ref="C19:G19"/>
    <mergeCell ref="C20:G20"/>
    <mergeCell ref="C21:G21"/>
    <mergeCell ref="C23:G23"/>
    <mergeCell ref="C24:G24"/>
    <mergeCell ref="C16:G16"/>
    <mergeCell ref="C11:G11"/>
    <mergeCell ref="C12:G12"/>
    <mergeCell ref="C13:G13"/>
    <mergeCell ref="C14:G14"/>
    <mergeCell ref="C15:G15"/>
  </mergeCells>
  <phoneticPr fontId="19" type="noConversion"/>
  <conditionalFormatting sqref="D1">
    <cfRule type="containsText" dxfId="15" priority="1" operator="containsText" text="ATENDIDO">
      <formula>NOT(ISERROR(SEARCH(("ATENDIDO"),(D1))))</formula>
    </cfRule>
    <cfRule type="containsText" dxfId="14" priority="2" operator="containsText" text="PENDIENTE">
      <formula>NOT(ISERROR(SEARCH(("PENDIENTE"),(D1))))</formula>
    </cfRule>
    <cfRule type="containsText" dxfId="13" priority="3" operator="containsText" text="NO APLICA">
      <formula>NOT(ISERROR(SEARCH(("NO APLICA"),(D1))))</formula>
    </cfRule>
  </conditionalFormatting>
  <conditionalFormatting sqref="D2:D6 W2:W6">
    <cfRule type="cellIs" dxfId="12" priority="58" operator="equal">
      <formula>$B$16</formula>
    </cfRule>
    <cfRule type="cellIs" dxfId="11" priority="59" operator="equal">
      <formula>$B$17</formula>
    </cfRule>
    <cfRule type="cellIs" dxfId="10" priority="60" operator="equal">
      <formula>$B$15</formula>
    </cfRule>
    <cfRule type="cellIs" dxfId="9" priority="61" operator="equal">
      <formula>$B$13</formula>
    </cfRule>
    <cfRule type="cellIs" dxfId="8" priority="62" operator="equal">
      <formula>$B$14</formula>
    </cfRule>
    <cfRule type="cellIs" dxfId="7" priority="63" operator="equal">
      <formula>$B$12</formula>
    </cfRule>
    <cfRule type="cellIs" dxfId="6" priority="64" operator="equal">
      <formula>$B$11</formula>
    </cfRule>
  </conditionalFormatting>
  <conditionalFormatting sqref="G2:G6">
    <cfRule type="cellIs" dxfId="5" priority="86" operator="equal">
      <formula>$B$21</formula>
    </cfRule>
    <cfRule type="cellIs" dxfId="4" priority="87" operator="equal">
      <formula>$B$20</formula>
    </cfRule>
    <cfRule type="cellIs" dxfId="3" priority="88" operator="equal">
      <formula>$B$19</formula>
    </cfRule>
  </conditionalFormatting>
  <conditionalFormatting sqref="U2:U6">
    <cfRule type="cellIs" dxfId="2" priority="92" operator="equal">
      <formula>$B$25</formula>
    </cfRule>
    <cfRule type="cellIs" dxfId="1" priority="93" operator="equal">
      <formula>$B$24</formula>
    </cfRule>
    <cfRule type="cellIs" dxfId="0" priority="94" operator="equal">
      <formula>$B$23</formula>
    </cfRule>
  </conditionalFormatting>
  <dataValidations count="5">
    <dataValidation type="list" allowBlank="1" sqref="W1" xr:uid="{00000000-0002-0000-0200-000001000000}">
      <formula1>"Atendido,Pendiente,Desestimado,Nuevo Requerimiento"</formula1>
    </dataValidation>
    <dataValidation type="list" allowBlank="1" sqref="X1:Y1" xr:uid="{00000000-0002-0000-0200-000003000000}">
      <formula1>"Yois T,Katty T.,Verónica C.,Renzo A."</formula1>
    </dataValidation>
    <dataValidation type="list" allowBlank="1" showErrorMessage="1" sqref="U2:U6" xr:uid="{00000000-0002-0000-0200-000000000000}">
      <formula1>$B$23:$B$25</formula1>
    </dataValidation>
    <dataValidation type="list" allowBlank="1" showErrorMessage="1" sqref="G2:G6" xr:uid="{00000000-0002-0000-0200-000002000000}">
      <formula1>$B$19:$B$21</formula1>
    </dataValidation>
    <dataValidation type="list" allowBlank="1" showErrorMessage="1" sqref="W2:W6 D2:D6" xr:uid="{00000000-0002-0000-0200-000004000000}">
      <formula1>$B$11:$B$17</formula1>
    </dataValidation>
  </dataValidations>
  <hyperlinks>
    <hyperlink ref="Q2" r:id="rId1" display="..\UBIGEO\BUG\INC-EACS-001.png" xr:uid="{C90D9D3C-054D-4F12-A341-6E59234C5DE2}"/>
    <hyperlink ref="Q3:Q6" r:id="rId2" display="..\UBIGEO\BUG\INC-EACS-001.png" xr:uid="{C670A5D9-37FF-4B31-8911-CF439A6C7669}"/>
  </hyperlinks>
  <pageMargins left="0.23622047244094499" right="0.23622047244094499" top="0.74803149606299202" bottom="0.74803149606299202" header="0" footer="0"/>
  <pageSetup paperSize="66" fitToWidth="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DE EJECUCION</vt:lpstr>
      <vt:lpstr>AVANCE EJECUCIÓN </vt:lpstr>
      <vt:lpstr>CONSOLIDADO DE INCIDENCIAS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Katterine Cobeñas Pasapera</dc:creator>
  <cp:lastModifiedBy>ERICK DE LA CRUZ</cp:lastModifiedBy>
  <dcterms:created xsi:type="dcterms:W3CDTF">2019-01-10T23:07:00Z</dcterms:created>
  <dcterms:modified xsi:type="dcterms:W3CDTF">2026-09-22T20:12:52Z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3082-11.2.0.9747</vt:lpwstr>
  </property>
  <property fmtid="{D5CDD505-2E9C-101B-9397-08002B2CF9AE}" pid="3" name="ContentTypeId">
    <vt:lpwstr>0x010100C7D1DCAACD82B545AB88BF4ABED74A19</vt:lpwstr>
  </property>
  <property fmtid="{D5CDD505-2E9C-101B-9397-08002B2CF9AE}" pid="4" name="Order">
    <vt:r8>14124900</vt:r8>
  </property>
  <property fmtid="{D5CDD505-2E9C-101B-9397-08002B2CF9AE}" pid="5" name="SharedWithUsers">
    <vt:lpwstr>549;#Raul Cesar Huertas Salazar</vt:lpwstr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_activity">
    <vt:lpwstr>{"FileActivityType":"9","FileActivityTimeStamp":"2025-04-23T20:38:58.500Z","FileActivityUsersOnPage":[{"DisplayName":"Evelyn Catterine Cobeñas Pasapera","Id":"ecobenas@contraloria.gob.pe"},{"DisplayName":"Raul Evert Segovia Diaz","Id":"rsegovia@contraloria.gob.pe"},{"DisplayName":"Juan Francisco Fernandez Sanchez","Id":"jfernandezs@contraloria.gob.pe"},{"DisplayName":"Jairo Wilfredo Puente De La Vega Chavez","Id":"jpuentedelavega@contraloria.gob.pe"},{"DisplayName":"Roberto Enriquez Morales","Id":"renriquez@contraloria.gob.pe"},{"DisplayName":"Evelyn Catterine Cobeñas Pasapera","Id":"ecobenas@contraloria.gob.pe"}],"FileActivityNavigationId":null}</vt:lpwstr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